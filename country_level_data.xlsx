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Vimal\Desktop\Monalisa\PROJECT\Sustainable Consumption &amp; Waste Management\"/>
    </mc:Choice>
  </mc:AlternateContent>
  <bookViews>
    <workbookView xWindow="0" yWindow="0" windowWidth="14380" windowHeight="4320"/>
  </bookViews>
  <sheets>
    <sheet name="Country dataset" sheetId="17" r:id="rId1"/>
    <sheet name="EPR Input sheet" sheetId="14" state="hidden" r:id="rId2"/>
    <sheet name="Lists lookup" sheetId="16" state="hidden" r:id="rId3"/>
  </sheets>
  <definedNames>
    <definedName name="_xlnm._FilterDatabase" localSheetId="0" hidden="1">'Country dataset'!$A$2:$DF$222</definedName>
    <definedName name="_xlnm._FilterDatabase" localSheetId="1" hidden="1">'EPR Input sheet'!$A$2:$T$221</definedName>
    <definedName name="_Key1" hidden="1">#REF!</definedName>
    <definedName name="_msoanchor_2">#REF!</definedName>
    <definedName name="_msoanchor_4">#REF!</definedName>
    <definedName name="_Order1" hidden="1">255</definedName>
    <definedName name="_Sort"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26" i="17" l="1"/>
  <c r="BO137" i="17"/>
  <c r="AJ19" i="17"/>
  <c r="B221" i="14"/>
  <c r="C221" i="14"/>
  <c r="B220" i="14"/>
  <c r="C220" i="14"/>
  <c r="B219" i="14"/>
  <c r="C219" i="14"/>
  <c r="B218" i="14"/>
  <c r="C218" i="14"/>
  <c r="B217" i="14"/>
  <c r="C217" i="14"/>
  <c r="B216" i="14"/>
  <c r="C216" i="14"/>
  <c r="B215" i="14"/>
  <c r="C215" i="14"/>
  <c r="B214" i="14"/>
  <c r="C214" i="14"/>
  <c r="B213" i="14"/>
  <c r="C213" i="14"/>
  <c r="B212" i="14"/>
  <c r="C212" i="14"/>
  <c r="B211" i="14"/>
  <c r="C211" i="14"/>
  <c r="B210" i="14"/>
  <c r="C210" i="14"/>
  <c r="B209" i="14"/>
  <c r="C209" i="14"/>
  <c r="B208" i="14"/>
  <c r="C208" i="14"/>
  <c r="B207" i="14"/>
  <c r="C207" i="14"/>
  <c r="B206" i="14"/>
  <c r="C206" i="14"/>
  <c r="B205" i="14"/>
  <c r="C205" i="14"/>
  <c r="B204" i="14"/>
  <c r="C204" i="14"/>
  <c r="B203" i="14"/>
  <c r="C203" i="14"/>
  <c r="B202" i="14"/>
  <c r="C202" i="14"/>
  <c r="B201" i="14"/>
  <c r="C201" i="14"/>
  <c r="B200" i="14"/>
  <c r="C200" i="14"/>
  <c r="B199" i="14"/>
  <c r="C199" i="14"/>
  <c r="B198" i="14"/>
  <c r="C198" i="14"/>
  <c r="B197" i="14"/>
  <c r="C197" i="14"/>
  <c r="B196" i="14"/>
  <c r="C196" i="14"/>
  <c r="B195" i="14"/>
  <c r="C195" i="14"/>
  <c r="B194" i="14"/>
  <c r="C194" i="14"/>
  <c r="B193" i="14"/>
  <c r="C193" i="14"/>
  <c r="B192" i="14"/>
  <c r="C192" i="14"/>
  <c r="B191" i="14"/>
  <c r="C191" i="14"/>
  <c r="B190" i="14"/>
  <c r="C190" i="14"/>
  <c r="B189" i="14"/>
  <c r="C189" i="14"/>
  <c r="B188" i="14"/>
  <c r="C188" i="14"/>
  <c r="B187" i="14"/>
  <c r="C187" i="14"/>
  <c r="B186" i="14"/>
  <c r="C186" i="14"/>
  <c r="B185" i="14"/>
  <c r="C185" i="14"/>
  <c r="B184" i="14"/>
  <c r="C184" i="14"/>
  <c r="B183" i="14"/>
  <c r="C183" i="14"/>
  <c r="B182" i="14"/>
  <c r="C182" i="14"/>
  <c r="B181" i="14"/>
  <c r="C181" i="14"/>
  <c r="B180" i="14"/>
  <c r="C180" i="14"/>
  <c r="B179" i="14"/>
  <c r="C179" i="14"/>
  <c r="B178" i="14"/>
  <c r="C178" i="14"/>
  <c r="B177" i="14"/>
  <c r="C177" i="14"/>
  <c r="B176" i="14"/>
  <c r="C176" i="14"/>
  <c r="B175" i="14"/>
  <c r="C175" i="14"/>
  <c r="B174" i="14"/>
  <c r="C174" i="14"/>
  <c r="B173" i="14"/>
  <c r="C173" i="14"/>
  <c r="B172" i="14"/>
  <c r="C172" i="14"/>
  <c r="B171" i="14"/>
  <c r="C171" i="14"/>
  <c r="B170" i="14"/>
  <c r="C170" i="14"/>
  <c r="B169" i="14"/>
  <c r="C169" i="14"/>
  <c r="B168" i="14"/>
  <c r="C168" i="14"/>
  <c r="B167" i="14"/>
  <c r="C167" i="14"/>
  <c r="B166" i="14"/>
  <c r="C166" i="14"/>
  <c r="B165" i="14"/>
  <c r="C165" i="14"/>
  <c r="B164" i="14"/>
  <c r="C164" i="14"/>
  <c r="B163" i="14"/>
  <c r="C163" i="14"/>
  <c r="B162" i="14"/>
  <c r="C162" i="14"/>
  <c r="B161" i="14"/>
  <c r="C161" i="14"/>
  <c r="B160" i="14"/>
  <c r="C160" i="14"/>
  <c r="B159" i="14"/>
  <c r="C159" i="14"/>
  <c r="B158" i="14"/>
  <c r="C158" i="14"/>
  <c r="B157" i="14"/>
  <c r="C157" i="14"/>
  <c r="B156" i="14"/>
  <c r="C156" i="14"/>
  <c r="B155" i="14"/>
  <c r="C155" i="14"/>
  <c r="B154" i="14"/>
  <c r="C154" i="14"/>
  <c r="B153" i="14"/>
  <c r="C153" i="14"/>
  <c r="B152" i="14"/>
  <c r="C152" i="14"/>
  <c r="B151" i="14"/>
  <c r="C151" i="14"/>
  <c r="B150" i="14"/>
  <c r="C150" i="14"/>
  <c r="B149" i="14"/>
  <c r="C149" i="14"/>
  <c r="B148" i="14"/>
  <c r="C148" i="14"/>
  <c r="B147" i="14"/>
  <c r="C147" i="14"/>
  <c r="B146" i="14"/>
  <c r="C146" i="14"/>
  <c r="B145" i="14"/>
  <c r="C145" i="14"/>
  <c r="B144" i="14"/>
  <c r="C144" i="14"/>
  <c r="B143" i="14"/>
  <c r="C143" i="14"/>
  <c r="B142" i="14"/>
  <c r="C142" i="14"/>
  <c r="B141" i="14"/>
  <c r="C141" i="14"/>
  <c r="B140" i="14"/>
  <c r="C140" i="14"/>
  <c r="B139" i="14"/>
  <c r="C139" i="14"/>
  <c r="B138" i="14"/>
  <c r="C138" i="14"/>
  <c r="B137" i="14"/>
  <c r="C137" i="14"/>
  <c r="B136" i="14"/>
  <c r="C136" i="14"/>
  <c r="B135" i="14"/>
  <c r="C135" i="14"/>
  <c r="B134" i="14"/>
  <c r="C134" i="14"/>
  <c r="B133" i="14"/>
  <c r="C133" i="14"/>
  <c r="B132" i="14"/>
  <c r="C132" i="14"/>
  <c r="B131" i="14"/>
  <c r="C131" i="14"/>
  <c r="B130" i="14"/>
  <c r="C130" i="14"/>
  <c r="B129" i="14"/>
  <c r="C129" i="14"/>
  <c r="B128" i="14"/>
  <c r="C128" i="14"/>
  <c r="B127" i="14"/>
  <c r="C127" i="14"/>
  <c r="B126" i="14"/>
  <c r="C126" i="14"/>
  <c r="B125" i="14"/>
  <c r="C125" i="14"/>
  <c r="B124" i="14"/>
  <c r="C124" i="14"/>
  <c r="B123" i="14"/>
  <c r="C123" i="14"/>
  <c r="B122" i="14"/>
  <c r="C122" i="14"/>
  <c r="B121" i="14"/>
  <c r="C121" i="14"/>
  <c r="B120" i="14"/>
  <c r="C120" i="14"/>
  <c r="B119" i="14"/>
  <c r="C119" i="14"/>
  <c r="B118" i="14"/>
  <c r="C118" i="14"/>
  <c r="B117" i="14"/>
  <c r="C117" i="14"/>
  <c r="B116" i="14"/>
  <c r="C116" i="14"/>
  <c r="B115" i="14"/>
  <c r="C115" i="14"/>
  <c r="B114" i="14"/>
  <c r="C114" i="14"/>
  <c r="B113" i="14"/>
  <c r="C113" i="14"/>
  <c r="B112" i="14"/>
  <c r="C112" i="14"/>
  <c r="B111" i="14"/>
  <c r="C111" i="14"/>
  <c r="B110" i="14"/>
  <c r="C110" i="14"/>
  <c r="B109" i="14"/>
  <c r="C109" i="14"/>
  <c r="B108" i="14"/>
  <c r="C108" i="14"/>
  <c r="B107" i="14"/>
  <c r="C107" i="14"/>
  <c r="B106" i="14"/>
  <c r="C106" i="14"/>
  <c r="B105" i="14"/>
  <c r="C105" i="14"/>
  <c r="B104" i="14"/>
  <c r="C104" i="14"/>
  <c r="B103" i="14"/>
  <c r="C103" i="14"/>
  <c r="B102" i="14"/>
  <c r="C102" i="14"/>
  <c r="B101" i="14"/>
  <c r="C101" i="14"/>
  <c r="B100" i="14"/>
  <c r="C100" i="14"/>
  <c r="B99" i="14"/>
  <c r="C99" i="14"/>
  <c r="B98" i="14"/>
  <c r="C98" i="14"/>
  <c r="B97" i="14"/>
  <c r="C97" i="14"/>
  <c r="B96" i="14"/>
  <c r="C96" i="14"/>
  <c r="B95" i="14"/>
  <c r="C95" i="14"/>
  <c r="B94" i="14"/>
  <c r="C94" i="14"/>
  <c r="B93" i="14"/>
  <c r="C93" i="14"/>
  <c r="B92" i="14"/>
  <c r="C92" i="14"/>
  <c r="B91" i="14"/>
  <c r="C91" i="14"/>
  <c r="B90" i="14"/>
  <c r="C90" i="14"/>
  <c r="B89" i="14"/>
  <c r="C89" i="14"/>
  <c r="B88" i="14"/>
  <c r="C88" i="14"/>
  <c r="B87" i="14"/>
  <c r="C87" i="14"/>
  <c r="B86" i="14"/>
  <c r="C86" i="14"/>
  <c r="B85" i="14"/>
  <c r="C85" i="14"/>
  <c r="B84" i="14"/>
  <c r="C84" i="14"/>
  <c r="B83" i="14"/>
  <c r="C83" i="14"/>
  <c r="B82" i="14"/>
  <c r="C82" i="14"/>
  <c r="B81" i="14"/>
  <c r="C81" i="14"/>
  <c r="B80" i="14"/>
  <c r="C80" i="14"/>
  <c r="B79" i="14"/>
  <c r="C79" i="14"/>
  <c r="B78" i="14"/>
  <c r="C78" i="14"/>
  <c r="B77" i="14"/>
  <c r="C77" i="14"/>
  <c r="B76" i="14"/>
  <c r="C76" i="14"/>
  <c r="B75" i="14"/>
  <c r="C75" i="14"/>
  <c r="B74" i="14"/>
  <c r="C74" i="14"/>
  <c r="B73" i="14"/>
  <c r="C73" i="14"/>
  <c r="B72" i="14"/>
  <c r="C72" i="14"/>
  <c r="B71" i="14"/>
  <c r="C71" i="14"/>
  <c r="B70" i="14"/>
  <c r="C70" i="14"/>
  <c r="B69" i="14"/>
  <c r="C69" i="14"/>
  <c r="B68" i="14"/>
  <c r="C68" i="14"/>
  <c r="B67" i="14"/>
  <c r="C67" i="14"/>
  <c r="B66" i="14"/>
  <c r="C66" i="14"/>
  <c r="B65" i="14"/>
  <c r="C65" i="14"/>
  <c r="B64" i="14"/>
  <c r="C64" i="14"/>
  <c r="B63" i="14"/>
  <c r="C63" i="14"/>
  <c r="B62" i="14"/>
  <c r="C62" i="14"/>
  <c r="B61" i="14"/>
  <c r="C61" i="14"/>
  <c r="B60" i="14"/>
  <c r="C60" i="14"/>
  <c r="B59" i="14"/>
  <c r="C59" i="14"/>
  <c r="B58" i="14"/>
  <c r="C58" i="14"/>
  <c r="B57" i="14"/>
  <c r="C57" i="14"/>
  <c r="B56" i="14"/>
  <c r="C56" i="14"/>
  <c r="B55" i="14"/>
  <c r="C55" i="14"/>
  <c r="B54" i="14"/>
  <c r="C54" i="14"/>
  <c r="B53" i="14"/>
  <c r="C53" i="14"/>
  <c r="B52" i="14"/>
  <c r="C52" i="14"/>
  <c r="B51" i="14"/>
  <c r="C51" i="14"/>
  <c r="B50" i="14"/>
  <c r="C50" i="14"/>
  <c r="B49" i="14"/>
  <c r="C49" i="14"/>
  <c r="B48" i="14"/>
  <c r="C48" i="14"/>
  <c r="B47" i="14"/>
  <c r="C47" i="14"/>
  <c r="B46" i="14"/>
  <c r="C46" i="14"/>
  <c r="B45" i="14"/>
  <c r="C45" i="14"/>
  <c r="B44" i="14"/>
  <c r="C44" i="14"/>
  <c r="B43" i="14"/>
  <c r="C43" i="14"/>
  <c r="B42" i="14"/>
  <c r="C42" i="14"/>
  <c r="B41" i="14"/>
  <c r="C41" i="14"/>
  <c r="B40" i="14"/>
  <c r="C40" i="14"/>
  <c r="B39" i="14"/>
  <c r="C39" i="14"/>
  <c r="B38" i="14"/>
  <c r="C38" i="14"/>
  <c r="B37" i="14"/>
  <c r="C37" i="14"/>
  <c r="B36" i="14"/>
  <c r="C36" i="14"/>
  <c r="B35" i="14"/>
  <c r="C35" i="14"/>
  <c r="B34" i="14"/>
  <c r="C34" i="14"/>
  <c r="B33" i="14"/>
  <c r="C33" i="14"/>
  <c r="B32" i="14"/>
  <c r="C32" i="14"/>
  <c r="B31" i="14"/>
  <c r="C31" i="14"/>
  <c r="B30" i="14"/>
  <c r="C30" i="14"/>
  <c r="B29" i="14"/>
  <c r="C29" i="14"/>
  <c r="B28" i="14"/>
  <c r="C28" i="14"/>
  <c r="B27" i="14"/>
  <c r="C27" i="14"/>
  <c r="B26" i="14"/>
  <c r="C26" i="14"/>
  <c r="B25" i="14"/>
  <c r="C25" i="14"/>
  <c r="B24" i="14"/>
  <c r="C24" i="14"/>
  <c r="B23" i="14"/>
  <c r="C23" i="14"/>
  <c r="B22" i="14"/>
  <c r="C22" i="14"/>
  <c r="B21" i="14"/>
  <c r="C21" i="14"/>
  <c r="B20" i="14"/>
  <c r="C20" i="14"/>
  <c r="B19" i="14"/>
  <c r="C19" i="14"/>
  <c r="B18" i="14"/>
  <c r="C18" i="14"/>
  <c r="B17" i="14"/>
  <c r="C17" i="14"/>
  <c r="B16" i="14"/>
  <c r="C16" i="14"/>
  <c r="B15" i="14"/>
  <c r="C15" i="14"/>
  <c r="B14" i="14"/>
  <c r="C14" i="14"/>
  <c r="B13" i="14"/>
  <c r="C13" i="14"/>
  <c r="B12" i="14"/>
  <c r="C12" i="14"/>
  <c r="B11" i="14"/>
  <c r="C11" i="14"/>
  <c r="B10" i="14"/>
  <c r="C10" i="14"/>
  <c r="B9" i="14"/>
  <c r="C9" i="14"/>
  <c r="B8" i="14"/>
  <c r="C8" i="14"/>
  <c r="B7" i="14"/>
  <c r="C7" i="14"/>
  <c r="B6" i="14"/>
  <c r="C6" i="14"/>
  <c r="B5" i="14"/>
  <c r="C5" i="14"/>
  <c r="B4" i="14"/>
  <c r="C4" i="14"/>
  <c r="B3" i="14"/>
  <c r="C3" i="14"/>
</calcChain>
</file>

<file path=xl/sharedStrings.xml><?xml version="1.0" encoding="utf-8"?>
<sst xmlns="http://schemas.openxmlformats.org/spreadsheetml/2006/main" count="8355" uniqueCount="1727">
  <si>
    <t>iso3c</t>
  </si>
  <si>
    <t>region_id</t>
  </si>
  <si>
    <t>country_name</t>
  </si>
  <si>
    <t>income_id</t>
  </si>
  <si>
    <t>income_id_2022</t>
  </si>
  <si>
    <t>gdp</t>
  </si>
  <si>
    <t>population_number_of_people</t>
  </si>
  <si>
    <t>msw_total_msw_generation_year</t>
  </si>
  <si>
    <t>msw_total_msw_generated_point_of_measurement</t>
  </si>
  <si>
    <t>msw_total_msw_generated_kg_per_cap_per_day</t>
  </si>
  <si>
    <t>composition_msw_food_organic_waste_percent</t>
  </si>
  <si>
    <t>composition_msw_glass_percent</t>
  </si>
  <si>
    <t>composition_msw_metal_percent</t>
  </si>
  <si>
    <t>composition_msw_paper_cardboard_percent</t>
  </si>
  <si>
    <t>composition_msw_plastic_percent</t>
  </si>
  <si>
    <t>composition_msw_rubber_leather_percent</t>
  </si>
  <si>
    <t>composition_msw_wood_percent</t>
  </si>
  <si>
    <t>composition_msw_yard_garden_green_waste_percent</t>
  </si>
  <si>
    <t>composition_msw_textile_waste_percent</t>
  </si>
  <si>
    <t>composition_msw_weee_percent</t>
  </si>
  <si>
    <t>composition_msw_hazardous_percent</t>
  </si>
  <si>
    <t>composition_msw_diapers_and_hygiene_percent</t>
  </si>
  <si>
    <t>composition_msw_other_percent</t>
  </si>
  <si>
    <t>separation_amount_of_material_collected_for_recycling_by_formal_sector</t>
  </si>
  <si>
    <t>msw_percent_of_plastic_waste_generated_which_is_rigid</t>
  </si>
  <si>
    <t>msw_percent_of_plastic_waste_generated_which_is_flexible</t>
  </si>
  <si>
    <t>waste_collection_coverage_rural_percent_of_households</t>
  </si>
  <si>
    <t>waste_collection_coverage_rural_percent_of_population</t>
  </si>
  <si>
    <t>waste_collection_coverage_rural_percent_of_waste</t>
  </si>
  <si>
    <t>waste_collection_coverage_total_percent_of_households</t>
  </si>
  <si>
    <t>waste_collection_coverage_total_percent_of_population</t>
  </si>
  <si>
    <t>waste_collection_coverage_total_percent_of_waste</t>
  </si>
  <si>
    <t>waste_collection_coverage_urban_percent_of_households</t>
  </si>
  <si>
    <t>waste_collection_coverage_urban_percent_of_population</t>
  </si>
  <si>
    <t>waste_collection_coverage_urban_percent_of_waste</t>
  </si>
  <si>
    <t>waste_treatment_open_dumpsite_percent</t>
  </si>
  <si>
    <t>waste_treatment_controlled_landfill_percent</t>
  </si>
  <si>
    <t>waste_treatment_sanitary_landfill_landfill_gas_system_percent</t>
  </si>
  <si>
    <t>waste_treatment_landfill_unspecified_percent</t>
  </si>
  <si>
    <t>waste_treatment_anaerobic_digestion_percent</t>
  </si>
  <si>
    <t>waste_treatment_compost_percent</t>
  </si>
  <si>
    <t>waste_treatment_recycling_percent</t>
  </si>
  <si>
    <t>waste_treatment_incineration_percent</t>
  </si>
  <si>
    <t>waste_treatment_mbt_percent</t>
  </si>
  <si>
    <t>waste_treatment_rdf_percent</t>
  </si>
  <si>
    <t>waste_treatment_other_percent</t>
  </si>
  <si>
    <t>waste_uncollected_percent</t>
  </si>
  <si>
    <t>waste_treatment_unaccounted_for_percent</t>
  </si>
  <si>
    <t>uncollected_waste_dumped_on_land_percent</t>
  </si>
  <si>
    <t>uncollected_waste_open_burned_percent</t>
  </si>
  <si>
    <t>uncollected_waste_buried_percent</t>
  </si>
  <si>
    <t>uncollected_waste_dumped_in_aquatic_environment_percent</t>
  </si>
  <si>
    <t>uncollected_waste_recycled_or_composted_percent</t>
  </si>
  <si>
    <t>uncollected_waste_other_percent</t>
  </si>
  <si>
    <t>waste_workers_formal</t>
  </si>
  <si>
    <t>waste_workers_formal_women</t>
  </si>
  <si>
    <t>waste_workers_informal</t>
  </si>
  <si>
    <t>waste_workers_informal_women</t>
  </si>
  <si>
    <t>waste_workers_informal_children</t>
  </si>
  <si>
    <t>other_information_information_system_for_solid_waste_management</t>
  </si>
  <si>
    <t>other_information_national_agency_to_enforce_solid_waste_laws_and_regulations</t>
  </si>
  <si>
    <t>other_information_national_department_to_enforce_solid_waste_laws_and_regulations</t>
  </si>
  <si>
    <t>other_information_national_agency_or_government_to_enforce_solid_waste_laws_and_regulations_name</t>
  </si>
  <si>
    <t>other_information_national_law_governing_solid_waste_management_in_the_country</t>
  </si>
  <si>
    <t>other_information_ppp_rules_and_regulations</t>
  </si>
  <si>
    <t>other_information_summary_of_key_solid_waste_information_made_available_to_the_public</t>
  </si>
  <si>
    <t>other_information_list_national_strategy_plan_plastics</t>
  </si>
  <si>
    <t>other_information_list_national_strategy_plan</t>
  </si>
  <si>
    <t>other_information_list_national_policy_legislation_plastics</t>
  </si>
  <si>
    <t>other_information_list_national_policy_legislation_plastics_Upstream</t>
  </si>
  <si>
    <t>other_information_list_national_policy_legislation_plastics_Upstream_Source</t>
  </si>
  <si>
    <t>other_information_list_national_policy_legislation_plastics_Midstream</t>
  </si>
  <si>
    <t>other_information_list_national_policy_legislation_plastics_Midstream_Source</t>
  </si>
  <si>
    <t>other_information_list_national_policy_legislation_plastics_Downstream</t>
  </si>
  <si>
    <t>other_information_list_national_policy_legislation_plastics_Downstream_Source</t>
  </si>
  <si>
    <t>epr_present</t>
  </si>
  <si>
    <t>epr_(1)_packaging</t>
  </si>
  <si>
    <t>epr_(4)_plastics_non_packaging</t>
  </si>
  <si>
    <t>epr_(5)_fishing_gear</t>
  </si>
  <si>
    <t>epr_(2)_weee</t>
  </si>
  <si>
    <t>epr_(3)_batteries</t>
  </si>
  <si>
    <t>epr_(6)_other</t>
  </si>
  <si>
    <t>epr_Private_(industry_led)_or_public_(government_led)_scheme</t>
  </si>
  <si>
    <t>epr_mandatory_or_voluntary_scheme</t>
  </si>
  <si>
    <t>epr_Operational_status</t>
  </si>
  <si>
    <t>drs_for_beverage_containers_present</t>
  </si>
  <si>
    <t>drs_geographical_scope</t>
  </si>
  <si>
    <t>drs_containers_types</t>
  </si>
  <si>
    <t>drs_mandatory_vs_voluntary</t>
  </si>
  <si>
    <t>drs_operational_status</t>
  </si>
  <si>
    <t>AFG</t>
  </si>
  <si>
    <t>SAS</t>
  </si>
  <si>
    <t>Afghanistan</t>
  </si>
  <si>
    <t>LIC</t>
  </si>
  <si>
    <t>Not stated</t>
  </si>
  <si>
    <t>No</t>
  </si>
  <si>
    <t>Yes</t>
  </si>
  <si>
    <t>National Environmental Protection Agency (The name of Department could not be confirmed)</t>
  </si>
  <si>
    <t>Ban on the import of carrier bags. 2023. https://mof.gov.af/en/importing-any-kind-plastic-bags-country-interdicted#:~:text=Importing%20any%20kind%20of%20plastic,is%20interdicted%20%7C%20Ministry%20of%20Finance; https://pajhwok.com/2024/05/29/experts-warn-against-use-of-plastic-bags-for-food/#google_vignette</t>
  </si>
  <si>
    <t>ALB</t>
  </si>
  <si>
    <t>ECS</t>
  </si>
  <si>
    <t>Albania</t>
  </si>
  <si>
    <t>Point of treatment or disposal (Landfill, dumpsite, incinerator, composting plant)</t>
  </si>
  <si>
    <t>Ministry of Tourism and Environment (MoTE); National Environment Agency (NEA)</t>
  </si>
  <si>
    <t>Achieve 22.5% recovery rate for plastic packaging by 2035</t>
  </si>
  <si>
    <t>National Integrated Waste Management Plan 2020-2035.</t>
  </si>
  <si>
    <t>Unknown</t>
  </si>
  <si>
    <t>Planning stage</t>
  </si>
  <si>
    <t>Industry led</t>
  </si>
  <si>
    <t>Mandatory</t>
  </si>
  <si>
    <t>Legally-binding Regulations in place</t>
  </si>
  <si>
    <t>DZA</t>
  </si>
  <si>
    <t>MEA</t>
  </si>
  <si>
    <t>Algeria</t>
  </si>
  <si>
    <t>The Ministry of the Environment</t>
  </si>
  <si>
    <t>National Strategy for Integrated Waste management in Algeria</t>
  </si>
  <si>
    <t>Décret exécutif nº 09-87 relatif à la taxe sur les sacs plastiques importés et/ou produits localements. 2009</t>
  </si>
  <si>
    <t xml:space="preserve">Law 01-19 of 27 Ramadhan 1422 corresponding to Decemeber 12, 2001 relation to the management, control and elimination of waste 
</t>
  </si>
  <si>
    <t>Both</t>
  </si>
  <si>
    <t>ASM</t>
  </si>
  <si>
    <t>EAS</t>
  </si>
  <si>
    <t>American Samoa</t>
  </si>
  <si>
    <t>HIC</t>
  </si>
  <si>
    <t/>
  </si>
  <si>
    <t>25.2034 Prohibition on plastic shopping bags. https://asbar.org/code-annotated/25-2034-prohibition-on-plastic-shopping-bags/</t>
  </si>
  <si>
    <t>AND</t>
  </si>
  <si>
    <t>Andorra</t>
  </si>
  <si>
    <t>Departament de Medi Ambient i Sostenibilitat.</t>
  </si>
  <si>
    <t>Campaign to promote reusable bags 2012; distribution of 6,000 reusable bags to reduce plastic bag consumption 2018</t>
  </si>
  <si>
    <t>New National Waste Plan</t>
  </si>
  <si>
    <t>Prohibition of delivering free plastic bags from 2019 to points of sale of products; Ban of single-use plastic with an alternative</t>
  </si>
  <si>
    <t>AGO</t>
  </si>
  <si>
    <t>SSF</t>
  </si>
  <si>
    <t>Angola</t>
  </si>
  <si>
    <t>National Waste Agency</t>
  </si>
  <si>
    <t>Sustainable Urban Waste Management Plan 2012</t>
  </si>
  <si>
    <t>ATG</t>
  </si>
  <si>
    <t>LCN</t>
  </si>
  <si>
    <t>Antigua and Barbuda</t>
  </si>
  <si>
    <t>The Ministry of Health, Wellness and Environment</t>
  </si>
  <si>
    <t>Shopping plastic bag prohibition</t>
  </si>
  <si>
    <t>ARG</t>
  </si>
  <si>
    <t>Argentina</t>
  </si>
  <si>
    <t>Environmental Subsecretariat within the Ministry of Interior</t>
  </si>
  <si>
    <t>Regulations for the Progressive Reduction and Specific Prohibition of Plastics in the Jurisdiction of the National Parks Administration
Guidelines of the Secretariat of Government for Environment and Sustainable Development for the Environmentally Sound Management of Plastics Throughout Their Life Cycle (Resolution 407, 2019)
Law on Cosmetics and Oral Hygiene Products for Dental Use (Law 27602, 2020)</t>
  </si>
  <si>
    <t>ARM</t>
  </si>
  <si>
    <t>Armenia</t>
  </si>
  <si>
    <t>RA Ministry of Environment; Waste and Atmosphere Emissions Management Agency</t>
  </si>
  <si>
    <t>Voluntary</t>
  </si>
  <si>
    <t>Offcial Policy or Strategy Document Approved</t>
  </si>
  <si>
    <t>ABW</t>
  </si>
  <si>
    <t>Aruba</t>
  </si>
  <si>
    <t>Point of generation (household, business, institution)</t>
  </si>
  <si>
    <t>"Choose Zero"</t>
  </si>
  <si>
    <t>Plastic Bag ordinance</t>
  </si>
  <si>
    <t>AUS</t>
  </si>
  <si>
    <t>Australia</t>
  </si>
  <si>
    <t xml:space="preserve">Regulated facilities </t>
  </si>
  <si>
    <t>The Department of Climate Change, Energy, the Environment and Water</t>
  </si>
  <si>
    <t>National Plastics Plan</t>
  </si>
  <si>
    <t>National Waste Policy Action Plan 2019</t>
  </si>
  <si>
    <t>Single-use and Other Plastic Products (Waste Avoidance) Act 2020</t>
  </si>
  <si>
    <t>Regional</t>
  </si>
  <si>
    <t>AUT</t>
  </si>
  <si>
    <t>Austria</t>
  </si>
  <si>
    <t>Federal Ministry for Climate Action, Environment, Energy, Mobility, Innovation and Technology (→ BMK)</t>
  </si>
  <si>
    <t>SUPD</t>
  </si>
  <si>
    <t>The Austrian Circular Economy Strategy</t>
  </si>
  <si>
    <t>National</t>
  </si>
  <si>
    <t>AZE</t>
  </si>
  <si>
    <t>Azerbaijan</t>
  </si>
  <si>
    <t>Ministry of Economy</t>
  </si>
  <si>
    <t>None</t>
  </si>
  <si>
    <t>SUP law</t>
  </si>
  <si>
    <t>BHS</t>
  </si>
  <si>
    <t>Bahamas, The</t>
  </si>
  <si>
    <t>Department of Environmental Health Services, The Ministry of Environment and Natural Resources</t>
  </si>
  <si>
    <t>Single-Use Plastics and Styrofoam Ban</t>
  </si>
  <si>
    <t>Environmental Protection (Control of Plastic Pollution) Act No. 38 of 2019. https://nicholasinstitute.duke.edu/plastics-policies/environmental-protection-control-plastic-pollution-act-no-38-2019</t>
  </si>
  <si>
    <t>BHR</t>
  </si>
  <si>
    <t>Bahrain</t>
  </si>
  <si>
    <t>The Supreme Council for Environment, Kingdom of Bahrain</t>
  </si>
  <si>
    <t>Clean Seas Campaign</t>
  </si>
  <si>
    <t>Plastic bag ban</t>
  </si>
  <si>
    <t>BGD</t>
  </si>
  <si>
    <t>Bangladesh</t>
  </si>
  <si>
    <t>Bangladesh Ministry of Environment, Forest and Climate Change</t>
  </si>
  <si>
    <t xml:space="preserve"> Bangladesh Environment Conservation Act, 1995 (amended in 2002).; Environmental Policy (2018). Mandatory Jute Packaging Act (2010) and Mandatory Jute Packaging Rules (2013) was enacted to promote the jute industry and reduce reliance on plastics.</t>
  </si>
  <si>
    <t>BRB</t>
  </si>
  <si>
    <t>Barbados</t>
  </si>
  <si>
    <t>Returnable Container Act</t>
  </si>
  <si>
    <t>Control of Disposable Plastics Act 2019-11. https://www.barbadosparliament.com/uploads/document/8dfda40c3ffafeb35aaae98691f50536.pdf</t>
  </si>
  <si>
    <t>BLR</t>
  </si>
  <si>
    <t>Belarus</t>
  </si>
  <si>
    <t>Point of transfer (transfer station)</t>
  </si>
  <si>
    <t>Natural Resources and Environmental Protection Ministry</t>
  </si>
  <si>
    <t>Decree of the Council of Ministers No. 7 (2020) that gradually reduces the use of plastic packaging.</t>
  </si>
  <si>
    <t>Law passed</t>
  </si>
  <si>
    <t>Undetermined</t>
  </si>
  <si>
    <t>BEL</t>
  </si>
  <si>
    <t>Belgium</t>
  </si>
  <si>
    <t>Bruxelles Environment</t>
  </si>
  <si>
    <t>EU's Single-Use Plastics Directive,</t>
  </si>
  <si>
    <t>Draft policy, strategy or roadmap (initial planning)</t>
  </si>
  <si>
    <t>BLZ</t>
  </si>
  <si>
    <t>Belize</t>
  </si>
  <si>
    <t>yes</t>
  </si>
  <si>
    <t>The Department of the Environment</t>
  </si>
  <si>
    <t>60% recovery of packaging waste by weight by 2021</t>
  </si>
  <si>
    <t>National Solid Waste Management Strategy &amp; Implementation Plan</t>
  </si>
  <si>
    <t>Environmental Protection (Pollution from Plastics) Regulations 2019</t>
  </si>
  <si>
    <t>Returnable Containers Act (2009)</t>
  </si>
  <si>
    <t>BEN</t>
  </si>
  <si>
    <t>Benin</t>
  </si>
  <si>
    <t>The Agency for Territory Development, under Ministry of the Living Environment</t>
  </si>
  <si>
    <t>Restrictions on the import, production, sale, and use of non-biodegradable plastic bags.
https://trade4devnews.enhancedif.org/en/op-ed/plastic-pollution-can-aid-trade-help-least-developed-countries-tackle-crisis#:~:text=Plastic%20pollution%20is%20a%20major,Chad%2C%20and%20The%20Gambia).</t>
  </si>
  <si>
    <t>BMU</t>
  </si>
  <si>
    <t>NAC</t>
  </si>
  <si>
    <t>Bermuda</t>
  </si>
  <si>
    <t>Department of Works and Engineering, Waste and Enforcement Section</t>
  </si>
  <si>
    <t>Three-phase approach to the elimination of SUP's in Bermuda</t>
  </si>
  <si>
    <t>Regulating Single Use Plastics in Bermuda</t>
  </si>
  <si>
    <t>BTN</t>
  </si>
  <si>
    <t>Bhutan</t>
  </si>
  <si>
    <t>Waste Management Division, National Environment Commission of Bhutan</t>
  </si>
  <si>
    <t>National Waste Management Strategy 2019</t>
  </si>
  <si>
    <t>Waste Prevention and Management Act (2009), Waste Prevention and Management Regulations (2012, as ammended in 2016). http://www.nec.gov.bt/publications/legislations</t>
  </si>
  <si>
    <t>BOL</t>
  </si>
  <si>
    <t>Bolivia</t>
  </si>
  <si>
    <t>Vice Ministry of Drinking Water and Basic Sanitation - General Directorate of Comprehensive Solid Waste Management</t>
  </si>
  <si>
    <t>BIH</t>
  </si>
  <si>
    <t>Bosnia and Herzegovina</t>
  </si>
  <si>
    <t>Federation of BiSH (FBiH) : The Ministry of Environment and Tourism oversees waste management policies in this region</t>
  </si>
  <si>
    <t>The Regulation on fees for plastic shoulder bags (Official  Gazette of the Federation of BiH, No 9/14) prescribes the  amount of the fee, calculation and payment for plastic bags, as well as who is obliged to calculate and pay the fees
In Republika Srpska, the Decree on the management of packaging and packaging waste (Official Gazette of the Republika Srpska, No 58/18) encourages the prevention of packaging waste through conditions for packaging design (European Environment Agency, 2017)
A project on preventing marine litter commenced in 2018 and involves local and national actors in the waste and recycling industry in Albania, Montenegro and BiH. The focus of implementation is on regional cooperation and the exchange of knowledge between national institutions, municipalities and companies. The project promotes a regulatory framework for reducing and banning single-use plastic items (GIZ, 2018).</t>
  </si>
  <si>
    <t>Not found.</t>
  </si>
  <si>
    <t>The Law on Amendments to the Law on Waste Management</t>
  </si>
  <si>
    <t>BWA</t>
  </si>
  <si>
    <t>Botswana</t>
  </si>
  <si>
    <t>The Ministry of Environment, Natural Resource Conservation and Tourism</t>
  </si>
  <si>
    <t>Statutory instrument for the Plastic Ban 2018 
Statutory Instrument No. 51 of 2021 Control of Goods, Prices and Other Charges Act (Cap. 43:08) (Plastic Carrier Bags and Flat Bags) (Levy) Regulations</t>
  </si>
  <si>
    <t>BRA</t>
  </si>
  <si>
    <t>Brazil</t>
  </si>
  <si>
    <t>Secretaria Nacional de Meio Ambiente Urbano e Qualidade Ambiental do Ministério do Meio Ambiente e Mudança do Clima</t>
  </si>
  <si>
    <t>National Solid Waste Management Plan</t>
  </si>
  <si>
    <t>Law No. 6.077 prohibiting the sale of plastic bags and regulating distribution and sale of biodegradable and biocompostable bags to consumers in all commercial establishments in the State of Amazonas. https://www.fao.org/faolex/results/details/en/c/LEX-FAOC226734/</t>
  </si>
  <si>
    <t>Ordinance GM/MMA No. 1,250/2024 has been enacted by the Brazilian Ministry of Environment and Climate Change to regulate the presentation, analysis, approval monitoring, accountability and evaluation of proposal and projects resulting from the Incentive Mechanism for the Recycling Industry and Production Chain</t>
  </si>
  <si>
    <t>VGB</t>
  </si>
  <si>
    <t>British Virgin Islands</t>
  </si>
  <si>
    <t>Department of Waste Management</t>
  </si>
  <si>
    <t>Plastic Litter Reduction and Container Deposit Bill. https://bvi.gov.vg/media-centre/speech-throne-2022</t>
  </si>
  <si>
    <t>BRN</t>
  </si>
  <si>
    <t>Brunei Darussalam</t>
  </si>
  <si>
    <t>Department of Environment</t>
  </si>
  <si>
    <t>No plastic bag everyday initiative</t>
  </si>
  <si>
    <t>BGR</t>
  </si>
  <si>
    <t>Bulgaria</t>
  </si>
  <si>
    <t>Ministry of Environment and Water</t>
  </si>
  <si>
    <t>EPR</t>
  </si>
  <si>
    <t>Ordinance on reduction of the impact of certain plastic products on the environment (“ORICPPE”).</t>
  </si>
  <si>
    <t>The Bulgarian Waste Management Act 
Directive 2008/98/EC on waste and repealing certain Directives
Directive 94/62/EC on packaging and packaging waste. 
There are also several ordinances regarding packaging and plastics waste. See https://cms.law/en/int/expert-guides/plastics-and-packaging-laws/bulgaria</t>
  </si>
  <si>
    <t>BFA</t>
  </si>
  <si>
    <t>Burkina Faso</t>
  </si>
  <si>
    <t>General Directorate of Environmental Conservation under the Ministry of Environment, Green Economy and Climate Change</t>
  </si>
  <si>
    <t>BDI</t>
  </si>
  <si>
    <t>Burundi</t>
  </si>
  <si>
    <t>Ministry of Water, Environment, Territorial Planning and Urban Planning</t>
  </si>
  <si>
    <t>Law on Prohibition of the Importation, Manufacture, Marketing and Use of Sacks and other Plastic Packaging</t>
  </si>
  <si>
    <t>CPV</t>
  </si>
  <si>
    <t>Cabo Verde</t>
  </si>
  <si>
    <t>The Ministry of Agriculture and Environment</t>
  </si>
  <si>
    <t>Law banning the production, import, marketing and use of plastic bags as nonreusable packaging (2015)</t>
  </si>
  <si>
    <t>KHM</t>
  </si>
  <si>
    <t>Cambodia</t>
  </si>
  <si>
    <t>Ministry of Environment</t>
  </si>
  <si>
    <t>Cambodia solid waste and plastic management improvement project</t>
  </si>
  <si>
    <t>Sub-Decree No. 168 on the management of plastic bags</t>
  </si>
  <si>
    <t>CMR</t>
  </si>
  <si>
    <t>Cameroon</t>
  </si>
  <si>
    <t>Ministry of Environment, Protection of Nature and Sustainable Develpoment (MINEPDED)</t>
  </si>
  <si>
    <t>Law n.98/015 (1998) puts a tax on plastics as an annual pollution tax</t>
  </si>
  <si>
    <t>CAN</t>
  </si>
  <si>
    <t>Canada</t>
  </si>
  <si>
    <t>In Canada, the responsibility for managing and reducing waste is shared among federal, provincial, territorial and municipal governments. 
See also Canadian Council of Ministers of the Environment https://ccme.ca/en/current-activities/waste</t>
  </si>
  <si>
    <t>Canada-wide Stategy on Zero Plastic Waste 
Greening Government Strategy
EPR 
Canada Plastics Pact</t>
  </si>
  <si>
    <t>Single-use Plastic Regulations (SUPPR)</t>
  </si>
  <si>
    <t>CYM</t>
  </si>
  <si>
    <t>Cayman Islands</t>
  </si>
  <si>
    <t>Department of Environmental Health</t>
  </si>
  <si>
    <t>Plastic ban, not yet implemented</t>
  </si>
  <si>
    <t>Customs Tariff Act (2023 revision) levys, with working group preparing ammendment to move several SUPs to ban list</t>
  </si>
  <si>
    <t>CAF</t>
  </si>
  <si>
    <t>Central African Republic</t>
  </si>
  <si>
    <t>The Ministry of Environment and Sustainable Development</t>
  </si>
  <si>
    <t>National budget</t>
  </si>
  <si>
    <t>TCD</t>
  </si>
  <si>
    <t>Chad</t>
  </si>
  <si>
    <t>Order No. 007/MCPI/SE/DC/DCE of 22/05/1993 prohibiting the import of non-biodegradable plastic packaging throughout the country.</t>
  </si>
  <si>
    <t>CHI</t>
  </si>
  <si>
    <t>Channel Islands</t>
  </si>
  <si>
    <t>Department for Infrastructure, Housing and Environment</t>
  </si>
  <si>
    <t>Single use plastic bag ban in Jersey.</t>
  </si>
  <si>
    <t>CHL</t>
  </si>
  <si>
    <t>Chile</t>
  </si>
  <si>
    <t>Ministerio del Medio Ambiente (MMA).</t>
  </si>
  <si>
    <t>Chilean Plastics Pact, National Strategy for the Management of Marine Debris and Microplastics</t>
  </si>
  <si>
    <t>Single-Use Plastics Act (Law 21.368), Ban of plastic shopping bags Act (Law 21.100), ERP Act (Law 20.920)</t>
  </si>
  <si>
    <t>CHN</t>
  </si>
  <si>
    <t>China</t>
  </si>
  <si>
    <t>Point of transfer (transfer station for urban)</t>
  </si>
  <si>
    <t>Ministry of Ecology and Environment</t>
  </si>
  <si>
    <t>Notice on Consolidating the Treatment of Plastic Pollution (NDRC ER [2020] No. 1146)</t>
  </si>
  <si>
    <t>14th Five-Year Plan Circular Economy Development Plan</t>
  </si>
  <si>
    <t>Opinions on Further Strengthening the Treatment of Plastic Pollution (NDRC ER [2020] No. 80). https://www.ndrc.gov.cn/xxgk/zcfb/tz/202001/t20200119_1219275.html</t>
  </si>
  <si>
    <t xml:space="preserve">Standing Committee of the National People's Congress. 2008. Circular Economy Promotion Law. Order No. 4 of the President of the People's Republic of China; State Council of China. 2017. Impelmentation Plan of Extended Producer Resposnibility System. State Council Gazette, 2017 No. 3. https://www.gov.cn/gongbao/content/2017/content_5163453.htm; https://www.mee.gov.cn/ywgz/fgbz/fl/202004/t20200430_777580.shtml; https://www.lawinfochina.com/display.aspx?id=7025&amp;lib=law; https://doi.org/10.1016/j.cec.2024.100076 </t>
  </si>
  <si>
    <t>COL</t>
  </si>
  <si>
    <t>Colombia</t>
  </si>
  <si>
    <t>In Colombia, the Ministry of Environment only sees hazardous waste and circular economy issues, but the hard waste issues are in the Vice-Ministry of Water and Basic Sanitation of the Ministry of Housing, City and Territory.</t>
  </si>
  <si>
    <t>National Plan for Sustainable Sinlg-Use Plastics Managament</t>
  </si>
  <si>
    <t>Ley N⁰ 2232 – Se establecen medidas tendientes a la reducción gradual de la producción y consumo de ciertos productos plásticos de un solo uso. 2022. https://www.fao.org/faolex/results/details/en/c/LEX-FAOC211104/</t>
  </si>
  <si>
    <t>Resolución 1407 por la cual se Reglamenta la Gestión Ambientalde los Residuos de Envases y Empaques de Papel, Cartón, Plástico, Vidrio, Metal y se Toman Otras Determinaciones. 2018. https://www.andi.com.co/Uploads/RES%201407%20DE%202018.pdf</t>
  </si>
  <si>
    <t>COM</t>
  </si>
  <si>
    <t>Comoros</t>
  </si>
  <si>
    <t>COD</t>
  </si>
  <si>
    <t>Congo, Dem. Rep.</t>
  </si>
  <si>
    <t>The Ministry of Environment and Sustainable Development (MEDD)</t>
  </si>
  <si>
    <t>Decree No. 2011-485 of July 20, 2011, regulating the production, importation, marketing, and use of plastic bags, sachets, and films. https://www.fao.org/faolex/results/details/en/c/LEX-FAOC105666/</t>
  </si>
  <si>
    <t>COG</t>
  </si>
  <si>
    <t>Congo, Rep.</t>
  </si>
  <si>
    <t>The Ministry of Construction, Urban Planning and Housing</t>
  </si>
  <si>
    <t>Décret n° 2011-485 du 20 juillet 2011 réglementant la production, l’importation, la commercialisation et l’utilisation des sacs, sachets et films en plastique. https://www.fao.org/faolex/results/details/en/c/LEX-FAOC105666/</t>
  </si>
  <si>
    <t>CRI</t>
  </si>
  <si>
    <t>Costa Rica</t>
  </si>
  <si>
    <t>Ministry of Health</t>
  </si>
  <si>
    <t>Specific strategies for waste separation and valorization (ENSRVR) and for the substitution of plastics (ENSPARC) were also published in the Costa Rican Solid Waste Plan 2016-2021 (PRESOL)</t>
  </si>
  <si>
    <t>Action Plan For Integral Waste Management 2019-2025. (Plan De Acción Para La Gestión Integral De Residuos 2019-2025)</t>
  </si>
  <si>
    <t>Law 9786 (restrictions on plastic bags, straws and plastic bottles) and Law 9703 (banning polystyrene)</t>
  </si>
  <si>
    <t>CIV</t>
  </si>
  <si>
    <t>Côte d’Ivoire</t>
  </si>
  <si>
    <t>National Waste Management Agency (ANAGED)</t>
  </si>
  <si>
    <t>Ban on the import, production, use and sale of non-biodegradable plastics bags</t>
  </si>
  <si>
    <t>HRV</t>
  </si>
  <si>
    <t>Croatia</t>
  </si>
  <si>
    <t>The Environment and Nature Protection Committee of the Croatian Parliament</t>
  </si>
  <si>
    <t xml:space="preserve">Ordinance on packaging and packaging waste (Official Gazette 97/15, 7/20 and 140/20)
</t>
  </si>
  <si>
    <t>The Packaging and Packaging Waste Directive</t>
  </si>
  <si>
    <t>Government led</t>
  </si>
  <si>
    <t>CUB</t>
  </si>
  <si>
    <t>Cuba</t>
  </si>
  <si>
    <t>CUW</t>
  </si>
  <si>
    <t>Curaçao</t>
  </si>
  <si>
    <t>Plastic Law</t>
  </si>
  <si>
    <t>Plastic Law. 2024. https://www.curacaochronicle.com/post/local/curacao-enacts-new-law-against-plastic/</t>
  </si>
  <si>
    <t>CYP</t>
  </si>
  <si>
    <t>Cyprus</t>
  </si>
  <si>
    <t>The Ministry of Agriculture, Rural Development and Environment
Department of the Environment</t>
  </si>
  <si>
    <t>Cyprus has a Waste Management Strategy which has targets and waste prevenetion measures for plastics 
EPR</t>
  </si>
  <si>
    <t>Municipal Waste Management Plan 2022-2028</t>
  </si>
  <si>
    <t>Waste Law 2011 (L.185(I)/2011) and the Packaging Waste Law of 2002 (L.32(I)/2002).</t>
  </si>
  <si>
    <t>CZE</t>
  </si>
  <si>
    <t>Czechia</t>
  </si>
  <si>
    <t>Czech Ministry of the Environment</t>
  </si>
  <si>
    <t>Plastic and Aluminum recycling targets for 2025</t>
  </si>
  <si>
    <t>Packaging and Packaging Waste Directive in the Act on Packaging (Act No. 477/2001)</t>
  </si>
  <si>
    <t>DNK</t>
  </si>
  <si>
    <t>Denmark</t>
  </si>
  <si>
    <t>Ministry of Environment of Denmark; Environmental Protection Agency</t>
  </si>
  <si>
    <t>Target of 50% for reduction in plastic take-away packaging; Establishment of a research mission on recycling and reduction of plastic waste</t>
  </si>
  <si>
    <t>Ban on single-use plastics; requirement for 60% recycling rate of collected plastic waste</t>
  </si>
  <si>
    <t>DJI</t>
  </si>
  <si>
    <t>Djibouti</t>
  </si>
  <si>
    <t>Order No. 2016-284 / PRE of 20/04/2016 prohibiting the import and marketing of non-biodegradable plastic bags, not produced in the Republic of Djibouti. https://nicholasinstitute.duke.edu/sites/default/files/plastics-policies/2394_TR_Final_Djibouti%202016%20bag%20import%20ban.pdf</t>
  </si>
  <si>
    <t>DMA</t>
  </si>
  <si>
    <t>Dominica</t>
  </si>
  <si>
    <t>Dominica Solid Waste Management Corporation</t>
  </si>
  <si>
    <t>DOM</t>
  </si>
  <si>
    <t>Dominican Republic</t>
  </si>
  <si>
    <t>Department of Municipal Waste Management at the Ministry of Environment and Natural Resources</t>
  </si>
  <si>
    <t>ECU</t>
  </si>
  <si>
    <t>Ecuador</t>
  </si>
  <si>
    <t>The Ministry of Environment, Water and Ecological Transition (MAE) and the Decentralized Autonomous Governments (GADs)</t>
  </si>
  <si>
    <t>Organic Law for the Rationalization, Reuse, and Reduction of Single-Use Plastics (2020)</t>
  </si>
  <si>
    <t>EGY</t>
  </si>
  <si>
    <t>Egypt, Arab Rep.</t>
  </si>
  <si>
    <t>Egyptian Environmental Affairs Agency (EEAA) </t>
  </si>
  <si>
    <t>Reducing the use of single-use plastic bags</t>
  </si>
  <si>
    <t>Prime Minister’s Decision No. 722 of 2022 issuing the Executive Regulations for the Law regulating Waste Management promulgated by Law No. 202 of 2020. https://www.fao.org/faolex/results/details/en/c/LEX-FAOC224169/</t>
  </si>
  <si>
    <t>SLV</t>
  </si>
  <si>
    <t>El Salvador</t>
  </si>
  <si>
    <t>Ministerio de Medio Ambiente y Recursos Naturales</t>
  </si>
  <si>
    <t>GNQ</t>
  </si>
  <si>
    <t>Equatorial Guinea</t>
  </si>
  <si>
    <t>The Ministry of Agriculture, Livestock, Forest and Environment</t>
  </si>
  <si>
    <t>https://realequatorialguinea.com/destacado/politica/el-gobierno-de-guinea-ecuatorial-trabaja-en-la-prohibicion-de-plasticos-contaminantes/#google_vignette</t>
  </si>
  <si>
    <t>ERI</t>
  </si>
  <si>
    <t>Eritrea</t>
  </si>
  <si>
    <t>The State of Eritrea Ministry of Land, Water and Environment</t>
  </si>
  <si>
    <t>Accelerating Action: Targets for the Sound Management of Chemicals and Waste</t>
  </si>
  <si>
    <t>Regulations to prohibit the Production, Sale or Distribution of Plastic Bags in Eritrea (L.N. No. 63 of 2003). https://nicholasinstitute.duke.edu/plastics-policies/regulations-prohibit-production-sale-or-distribution-plastic-bags-eritrea-ln-no</t>
  </si>
  <si>
    <t>EST</t>
  </si>
  <si>
    <t>Estonia</t>
  </si>
  <si>
    <t>Ministry of Climate</t>
  </si>
  <si>
    <t>Packaging Act</t>
  </si>
  <si>
    <t>SWZ</t>
  </si>
  <si>
    <t>Eswatini</t>
  </si>
  <si>
    <t>The Swazliand Environment Authority</t>
  </si>
  <si>
    <t>ETH</t>
  </si>
  <si>
    <t>Ethiopia</t>
  </si>
  <si>
    <t>Ministry of Urban Development and Housing (MoUDH); Environment Protection Authority</t>
  </si>
  <si>
    <t>Ban on the production/import of easily decomposable plastic bags with a thickness of less than 0.03mm or any indecomposable plastic bag; EPR</t>
  </si>
  <si>
    <t>FRO</t>
  </si>
  <si>
    <t>Faroe Islands</t>
  </si>
  <si>
    <t>Environment Agency; Ministry of Environment, Industry and Trade</t>
  </si>
  <si>
    <t xml:space="preserve">Marine Environment Act Environmental Protection Act. 2007 
</t>
  </si>
  <si>
    <t>FJI</t>
  </si>
  <si>
    <t>Fiji</t>
  </si>
  <si>
    <t>Fiji National Development Plan</t>
  </si>
  <si>
    <t>Ministy of Waterways and Environment. 2007. ENVIRONMENT MANAGEMENT (WASTE DISPOSAL AND RECYCLING) REGULATIONS 2007. https://www.mowe.gov.fj/wp-content/uploads/2019/08/Waste-Disposal-Recycling-Reg-2007.pdf; https://www.mowe.gov.fj/wp-content/uploads/2019/08/Environment-Management-Act-2005.pdf; https://www.mowe.gov.fj/legislation-and-acts/</t>
  </si>
  <si>
    <t>FIN</t>
  </si>
  <si>
    <t>Finland</t>
  </si>
  <si>
    <t>Ministry of the Environment</t>
  </si>
  <si>
    <t>Plastics Roadmap</t>
  </si>
  <si>
    <t>Single-use plastics (SUP) legislation</t>
  </si>
  <si>
    <t>FRA</t>
  </si>
  <si>
    <t>France</t>
  </si>
  <si>
    <t>ADEME</t>
  </si>
  <si>
    <t>Plastic Packaging Ban and EPR scheme</t>
  </si>
  <si>
    <t>Anti-waste &amp; Circular Economy Law</t>
  </si>
  <si>
    <t>PYF</t>
  </si>
  <si>
    <t>French Polynesia</t>
  </si>
  <si>
    <t>Société Environnement Polynésie</t>
  </si>
  <si>
    <t>GAB</t>
  </si>
  <si>
    <t>Gabon</t>
  </si>
  <si>
    <t>Ministry of Waters, Forests, Sea, Environment, Climate Plan and Land Use Plan</t>
  </si>
  <si>
    <t>Gabon Green Operation Plan  calls for application of CE principles in the promotion of waste recycling channels.</t>
  </si>
  <si>
    <t>Gabon Green Operational Plan</t>
  </si>
  <si>
    <t>Ban on the importation and marketing of nonrecyclable plastic bags</t>
  </si>
  <si>
    <t>GMB</t>
  </si>
  <si>
    <t>Gambia, The</t>
  </si>
  <si>
    <t>GEO</t>
  </si>
  <si>
    <t>Georgia</t>
  </si>
  <si>
    <t>Environmental Protection Division</t>
  </si>
  <si>
    <t>2016-2030 National Strategy and Activity Plan of Waste Management, with which the state hopes to achieve the ambitious task of reaching a 50% plastic recycling rate by 2025 and an 80% plastic recycling rate by 2030.</t>
  </si>
  <si>
    <t>Bans on use, import and domestic production of plastic bags.`</t>
  </si>
  <si>
    <t>HR 114: Highlighting Recycling as an essential part of the supply chain</t>
  </si>
  <si>
    <t>DEU</t>
  </si>
  <si>
    <t>Germany</t>
  </si>
  <si>
    <t>Federal Environment Agency</t>
  </si>
  <si>
    <t>SUP Ban</t>
  </si>
  <si>
    <t>Climate Action Plan 2050</t>
  </si>
  <si>
    <t>Circular Economy Act</t>
  </si>
  <si>
    <t>GHA</t>
  </si>
  <si>
    <t>Ghana</t>
  </si>
  <si>
    <t>Ministry of Sanitation and Water Resources</t>
  </si>
  <si>
    <t>National Plastics Management Policy</t>
  </si>
  <si>
    <t>At 863 - Plastic Tax</t>
  </si>
  <si>
    <t>GIB</t>
  </si>
  <si>
    <t>Gibraltar</t>
  </si>
  <si>
    <t>Environmental Agency Gibraltar</t>
  </si>
  <si>
    <t>Gibraltar Waste Management Plan 2013</t>
  </si>
  <si>
    <t>Imports and Exports (Control) Regulations 1987 were amended, under Schedule 1, to include the banning of certain single use plastic items. A transitional provision was added which ended on the 31st July 2021. https://www.gibraltar.gov.gi/press-releases/single-use-plastic-ban-in-full-effect-8562021-7446</t>
  </si>
  <si>
    <t>GRC</t>
  </si>
  <si>
    <t>Greece</t>
  </si>
  <si>
    <t>The Ministry of Environment and Energy</t>
  </si>
  <si>
    <t>Greece has proposed to reduce plastic pollution through its new national waste management plan</t>
  </si>
  <si>
    <t>Law 2939/2001 on packaging waste including plastic packaging</t>
  </si>
  <si>
    <t>EPR Law 2939/01</t>
  </si>
  <si>
    <t>Newrecycling Law 4496/2017</t>
  </si>
  <si>
    <t>GRL</t>
  </si>
  <si>
    <t>Greenland</t>
  </si>
  <si>
    <t>The Environment and Emergency Management Department</t>
  </si>
  <si>
    <t>SUP bans, carrier bag charges</t>
  </si>
  <si>
    <t>GRD</t>
  </si>
  <si>
    <t>Grenada</t>
  </si>
  <si>
    <t>National Waste Management Strategy 2003</t>
  </si>
  <si>
    <t>Non-Biodegradable Waste Control Act of 2018. https://climateresilience.gov.gd/solid-waste/</t>
  </si>
  <si>
    <t>GUM</t>
  </si>
  <si>
    <t>Guam</t>
  </si>
  <si>
    <t>Guam Solid Waste Management Authority</t>
  </si>
  <si>
    <t>SUP bag ban and pEPR including plastic bottles</t>
  </si>
  <si>
    <t>Zero Waste Master Plan</t>
  </si>
  <si>
    <t>SUP bag ban</t>
  </si>
  <si>
    <t>GTM</t>
  </si>
  <si>
    <t>Guatemala</t>
  </si>
  <si>
    <t>Ministry of Public Health an Social Assistance; Ministry of Environment and Natural Resources</t>
  </si>
  <si>
    <t>GIN</t>
  </si>
  <si>
    <t>Guinea</t>
  </si>
  <si>
    <t>Ministry of the Environment, Water and Forests; National Agency for Sanitation (Agence Nationale de l’Assainissement et de la Salubrité Publique, ANASP)</t>
  </si>
  <si>
    <t>Presidentia Decree. 2024. banning the manufacturing, import, sale, and use of single-use plastic packaging and products. https://english.news.cn/africa/20240923/449b7c44244e4d3d8021b9b21adbaefd/c.html</t>
  </si>
  <si>
    <t>GNB</t>
  </si>
  <si>
    <t>Guinea-Bissau</t>
  </si>
  <si>
    <t>Decree number 16/2013, of July 11, the Guinean regime prohibiting the manufacture, import and sale of non-biodegradable plastic bags. https://ang.gw/ambiente-ministro-anuncia-revisao-do-quadro-juridico-sobre-sacos-de-plastico/</t>
  </si>
  <si>
    <t>GUY</t>
  </si>
  <si>
    <t>Guyana</t>
  </si>
  <si>
    <t>Environmental Protection Authority; Solid Waste Management Authority</t>
  </si>
  <si>
    <t>HTI</t>
  </si>
  <si>
    <t>Haiti</t>
  </si>
  <si>
    <t>Ministry of the Environment (MDE)</t>
  </si>
  <si>
    <t>Ministerial Order - Prohibition of Food Packaging and Disposable Polystyrene Dishes. 2012. https://nicholasinstitute.duke.edu/plastics-policies/ministerial-order-prohibition-food-packaging-and-disposable-polystyrene-dishes</t>
  </si>
  <si>
    <t>HND</t>
  </si>
  <si>
    <t>Honduras</t>
  </si>
  <si>
    <t>Secretaría de Recursos Naturales y Ambiente (SERNA)</t>
  </si>
  <si>
    <t>HKG</t>
  </si>
  <si>
    <t>Hong Kong SAR, China</t>
  </si>
  <si>
    <t>Environmental Protection Department</t>
  </si>
  <si>
    <t>DRS pilot for plastic beverage containers</t>
  </si>
  <si>
    <t>Charge on SUP bags</t>
  </si>
  <si>
    <t>HUN</t>
  </si>
  <si>
    <t>Hungary</t>
  </si>
  <si>
    <t>Ministry of Energy</t>
  </si>
  <si>
    <t>ISL</t>
  </si>
  <si>
    <t>Iceland</t>
  </si>
  <si>
    <t>Environment Agency</t>
  </si>
  <si>
    <t>Bans on carrier bags and SUPs</t>
  </si>
  <si>
    <t>SUPs and plastic bags</t>
  </si>
  <si>
    <t>IND</t>
  </si>
  <si>
    <t>India</t>
  </si>
  <si>
    <t>Agency: Ministry of Environment, Forest and Climate Change
Departments: (1)The Hazardous Substances Management Division (HSMD), (2)Life Cell</t>
  </si>
  <si>
    <t>National Action Plan For Municipal Solid Waste</t>
  </si>
  <si>
    <t>Plastic Waste Management Rules (2016) (ammended in 2021 and 2022)</t>
  </si>
  <si>
    <t>IDN</t>
  </si>
  <si>
    <t>Indonesia</t>
  </si>
  <si>
    <t>Ministry of Environment and Forestry</t>
  </si>
  <si>
    <t>National Plastic Waste Reduction Strategic Actions for Indonesia</t>
  </si>
  <si>
    <t>Solid Waste Management Act (No. 18/2008)</t>
  </si>
  <si>
    <t>Ministry of Public Works Regulation No. 3/2013 on Implementation of Solid Waste Infrastructure and Facilities; Presidential Regulation No. 83/2018 on Marine Debris Management (National Plan of Action on Marine Plastic Debris)</t>
  </si>
  <si>
    <t>IRN</t>
  </si>
  <si>
    <t>Iran, Islamic Rep.</t>
  </si>
  <si>
    <t>Regulation on Reduction of Plastic Bags Consumption. 2022. https://www.fao.org/faolex/results/details/en/c/LEX-FAOC217790/</t>
  </si>
  <si>
    <t>IRQ</t>
  </si>
  <si>
    <t>Iraq</t>
  </si>
  <si>
    <t>Minstry of the Environment</t>
  </si>
  <si>
    <t>15 April 2025, the Council of Ministers approved an additional customs duty of 60 percent on imported transparent containers and single-use plastic cups. https://globaltradealert.org/intervention/144771-iraq-government-increases-customs-duties-on-transparent-containers-and-rebar. https://arabic.news.cn/20250416/fb53c1f6d23a4b8cbe8331139773fd18/c.html</t>
  </si>
  <si>
    <t>IRL</t>
  </si>
  <si>
    <t>Ireland</t>
  </si>
  <si>
    <t>Environmental Protection Agency; Department of the Environment, Climate and Communications</t>
  </si>
  <si>
    <t>Waste Action Plan for a Circular Economy:
SUP Ban
DRS for Plastic Bottles</t>
  </si>
  <si>
    <t>SI No. 136 of 2022 on single-use plastics</t>
  </si>
  <si>
    <t>IMN</t>
  </si>
  <si>
    <t>Isle of Man</t>
  </si>
  <si>
    <t>The Department of Environment,  Food and Agriculture</t>
  </si>
  <si>
    <t>Single use plastics reduction plan</t>
  </si>
  <si>
    <t>Ban of single-use plastic items</t>
  </si>
  <si>
    <t>ISR</t>
  </si>
  <si>
    <t>Israel</t>
  </si>
  <si>
    <t>ITA</t>
  </si>
  <si>
    <t>Italy</t>
  </si>
  <si>
    <t>Ministero dell'Ambiente e della Sicurezza Energetica (MASE); Istituto Superiore per la Protezione e la Ricerca Ambientale (ISPRA)</t>
  </si>
  <si>
    <t>National Waste Management Programme 2022-2028</t>
  </si>
  <si>
    <t>Single-use plastic ban</t>
  </si>
  <si>
    <t>Article 179 of Legislative Decree No. 152 of 3 April 2006, with a decree adopted pursuant to Article 17, paragraph 3, of Law No. 400 of 23 August 1988</t>
  </si>
  <si>
    <t>JAM</t>
  </si>
  <si>
    <t>Jamaica</t>
  </si>
  <si>
    <t>National Solid Waste Management Authority, Ministry of Local Government and Community Development</t>
  </si>
  <si>
    <t>The Trade Act - Plastic Packaging Materials Prohibition Order, 2018. https://www.ncra.org.jm/sites/default/files/Trade%20Act%20Plastic%20Prohibition%20Order%202018.pdf</t>
  </si>
  <si>
    <t>JPN</t>
  </si>
  <si>
    <t>Japan</t>
  </si>
  <si>
    <t>Ministry of the Environment, Japan and each local government</t>
  </si>
  <si>
    <t>Fundamental plan for establishing sound material cycle society</t>
  </si>
  <si>
    <t>Circular Economy Vision 2020</t>
  </si>
  <si>
    <t>The Plastic resource circulation act. https://www.env.go.jp/content/900452895.pdf</t>
  </si>
  <si>
    <t>JOR</t>
  </si>
  <si>
    <t>Jordan</t>
  </si>
  <si>
    <t>Ministry of Environment; Ministry of Local Administration; Joint Service Councils</t>
  </si>
  <si>
    <t>Waste Sector Green Growth Action National Action Plan 2021-2025 (GG-NAP)</t>
  </si>
  <si>
    <t>KAZ</t>
  </si>
  <si>
    <t>Kazakhstan</t>
  </si>
  <si>
    <t>Agency for Strategic Planning and Reforms of the Republic of Kazakhstan</t>
  </si>
  <si>
    <t>Ban on disposal of plastics, paper and glass</t>
  </si>
  <si>
    <t>KEN</t>
  </si>
  <si>
    <t>Kenya</t>
  </si>
  <si>
    <t>National Environment Management Authority (NEMA)</t>
  </si>
  <si>
    <t>National Sustainable Waste Management Policy</t>
  </si>
  <si>
    <t>Ban on plastic bags</t>
  </si>
  <si>
    <t>KIR</t>
  </si>
  <si>
    <t>Kiribati</t>
  </si>
  <si>
    <t>Ministry of Environment, Lands and Agriculture Development (MELAD)</t>
  </si>
  <si>
    <t>Ban on plastic bags and nappies in 2020</t>
  </si>
  <si>
    <t>KOR</t>
  </si>
  <si>
    <t>Korea, Rep.</t>
  </si>
  <si>
    <t>Korean Ministry of Environment</t>
  </si>
  <si>
    <t>New industrial growth strategies by promoting the circular economy
The 1st National Resource Circulation Plan (2018-2027)</t>
  </si>
  <si>
    <t>National Resource Circulation Plan (2018-2027)</t>
  </si>
  <si>
    <t>Basic Act on Resource Circulation . https://elaw.klri.re.kr/eng_mobile/viewer.do?hseq=51210&amp;type=part&amp;key=39#:~:text=The%20purpose%20of%20this%20Act,consumption%20of%20natural%20resources%20and</t>
  </si>
  <si>
    <t>Mixture</t>
  </si>
  <si>
    <t>XKX</t>
  </si>
  <si>
    <t>Kosovo</t>
  </si>
  <si>
    <t>Ministry of Environment and Spatial Planning; Kosovo Environmental Protection Agency (KEPA)</t>
  </si>
  <si>
    <t>Carrier bag restrictions</t>
  </si>
  <si>
    <t>KWT</t>
  </si>
  <si>
    <t>Kuwait</t>
  </si>
  <si>
    <t>Environment Public Authority</t>
  </si>
  <si>
    <t>KGZ</t>
  </si>
  <si>
    <t>Kyrgyz Republic</t>
  </si>
  <si>
    <t>Ministry of Natural Resources, Environment and Technical supervision</t>
  </si>
  <si>
    <t>LAO</t>
  </si>
  <si>
    <t>Lao PDR</t>
  </si>
  <si>
    <t>Ministry of Natural Resources and Environment</t>
  </si>
  <si>
    <t>Roadmap towards a National Plastics Action Plan</t>
  </si>
  <si>
    <t>2012 Environmental Protection Law No. 29/NA</t>
  </si>
  <si>
    <t>LVA</t>
  </si>
  <si>
    <t>Latvia</t>
  </si>
  <si>
    <t>Ministry of Environmental Protection and Regional Development of the Republic of Latvia; State Environmental Service of the Republic of Latvia;</t>
  </si>
  <si>
    <t>Ensure separate collection of 77% of single-use plastic beverage containers by 2025 and 90% by 2029</t>
  </si>
  <si>
    <t>LBN</t>
  </si>
  <si>
    <t>Lebanon</t>
  </si>
  <si>
    <t>LSO</t>
  </si>
  <si>
    <t>Lesotho</t>
  </si>
  <si>
    <t>Ministry of Tourism, Environment and Culture</t>
  </si>
  <si>
    <t>Partnerships for Plastic life cycle management project.</t>
  </si>
  <si>
    <t>Environment (Plastic and Levy) Regulations, 2022</t>
  </si>
  <si>
    <t>LBR</t>
  </si>
  <si>
    <t>Liberia</t>
  </si>
  <si>
    <t>Environmental Protection Agency</t>
  </si>
  <si>
    <t>National Solid Waste Management Policy (NSWMP)</t>
  </si>
  <si>
    <t>LBY</t>
  </si>
  <si>
    <t>Libya</t>
  </si>
  <si>
    <t>Environmental General Authority (EGA); Environmental Protection Agency; Operations and Maintenance Authority</t>
  </si>
  <si>
    <t>LIE</t>
  </si>
  <si>
    <t>Liechtenstein</t>
  </si>
  <si>
    <t>Office for the Environment</t>
  </si>
  <si>
    <t>Liechtenstein Waste Planning 2070</t>
  </si>
  <si>
    <t>Ordinance concerning the prohibition of the placing on the market and the requirements for the quality and marking of certain plastic products (Plastic Products Ordinance). 2021. https://www.fao.org/faolex/results/details/en/c/LEX-FAOC210346/</t>
  </si>
  <si>
    <t>LTU</t>
  </si>
  <si>
    <t>Lithuania</t>
  </si>
  <si>
    <t>Ministry of the Environment; Environmental Protection Agency</t>
  </si>
  <si>
    <t>Ban on some single-use plastics.</t>
  </si>
  <si>
    <t>LUX</t>
  </si>
  <si>
    <t>Luxembourg</t>
  </si>
  <si>
    <t>Circular Economy Package</t>
  </si>
  <si>
    <t>MAC</t>
  </si>
  <si>
    <t>Macao SAR, China</t>
  </si>
  <si>
    <t>The Environment Protection Bureau (DSPA)</t>
  </si>
  <si>
    <t>Recycling schemes and Eco Fun stations
For the sake to promote the awareness of “Plastic reduction”, DSPA carried out a series of initiatives and schemes such as the “Reducing the use of plastic bags would be rewarded”, the “Reducing plastic is very easy”, and the “Bringing your own reusable water bottle is easy”, and installed plastic bottle collection machines</t>
  </si>
  <si>
    <t>Macau Solid Waste Resources Management Programme (2017–2026)</t>
  </si>
  <si>
    <t>MDG</t>
  </si>
  <si>
    <t>Madagascar</t>
  </si>
  <si>
    <t>Decree No 2017-010 - Prohibiting the production, import, marketing, creation and use of plastic bags in the national territory. https://nicholasinstitute.duke.edu/plastics-policies/decree-no-2017-010-prohibiting-production-import-marketing-creation-and-use</t>
  </si>
  <si>
    <t>MWI</t>
  </si>
  <si>
    <t>Malawi</t>
  </si>
  <si>
    <t>Environmental Affairs Department</t>
  </si>
  <si>
    <t>Regulation on Ban of Thin Plastics</t>
  </si>
  <si>
    <t>MYS</t>
  </si>
  <si>
    <t>Malaysia</t>
  </si>
  <si>
    <t>The National Solid Waste Management Department and the Solid Waste and Public Cleansing Management Corporation (SWCorp)</t>
  </si>
  <si>
    <t>Malaysia’s Roadmap Towards Zero Single-Use Plastics (2018–2030)</t>
  </si>
  <si>
    <t>Total ban on plastic bags by 2025</t>
  </si>
  <si>
    <t>MDV</t>
  </si>
  <si>
    <t>Maldives</t>
  </si>
  <si>
    <t>Ministry of Climate Change , Environment and Energy (Waste Management and Pollution Control Department)</t>
  </si>
  <si>
    <t>Single Use Plastic Phase Out Plan 2020 2023</t>
  </si>
  <si>
    <t>(1) Waste Management Act (2022), (2) Environment Protection and Preservation Act (Act No. 4/93), (3) Regulation on Collecting Plastic Bag Fee by Persons Registered for GST 2023/R-76</t>
  </si>
  <si>
    <t>MLI</t>
  </si>
  <si>
    <t>Mali</t>
  </si>
  <si>
    <t>Ministry of Environment, Sanitation, Solid Waste and Sustainable Development</t>
  </si>
  <si>
    <t>MLT</t>
  </si>
  <si>
    <t>Malta</t>
  </si>
  <si>
    <t>Environment &amp; Resources Authority (ERA); Ministry for the Environment, Energy and Enterprises (MEEE)</t>
  </si>
  <si>
    <t>Single-Use Plastic Products Strategy for Malta</t>
  </si>
  <si>
    <t>Circular Economy Strategy Vision 2020 – 2030</t>
  </si>
  <si>
    <t>Single-Use Plastic Ban</t>
  </si>
  <si>
    <t>MHL</t>
  </si>
  <si>
    <t>Marshall Islands</t>
  </si>
  <si>
    <t>Department of Environment of the Ministry of Natural Resources</t>
  </si>
  <si>
    <t>Styrofoam Cups and Plates, and Plastic Products Prohibition and Container Deposit Act 2016</t>
  </si>
  <si>
    <t>MRT</t>
  </si>
  <si>
    <t>Mauritania</t>
  </si>
  <si>
    <t>Ban on Manufacture, Use, and import of Plastic Bags</t>
  </si>
  <si>
    <t>MUS</t>
  </si>
  <si>
    <t>Mauritius</t>
  </si>
  <si>
    <t>Solid Waste Management Division</t>
  </si>
  <si>
    <t>Roadmap and Action Plan for a Circular Economy in the Republic of Mauritius; The MCCI Roadmap for a Waste Plastic Free Mauritius</t>
  </si>
  <si>
    <t>Banning of Plastic Bags (Environment Protection Act)</t>
  </si>
  <si>
    <t>MEX</t>
  </si>
  <si>
    <t>Mexico</t>
  </si>
  <si>
    <t>Secretariat of Environment and Natural Resources - SEMARNAT (Secretaría de Medio Ambiente y Recursos Naturales)</t>
  </si>
  <si>
    <t>National Zero Waste Vision</t>
  </si>
  <si>
    <t>FSM</t>
  </si>
  <si>
    <t>Micronesia, Fed. Sts.</t>
  </si>
  <si>
    <t>National Solid Waste Management Strategy 2010 - 2014</t>
  </si>
  <si>
    <t>Plastic products ban (2020)</t>
  </si>
  <si>
    <t>MDA</t>
  </si>
  <si>
    <t>Moldova</t>
  </si>
  <si>
    <t>Ministry of the Environment 
Ministry of Agriculture, Regional Development and Environment</t>
  </si>
  <si>
    <t>Extended Producer Responsibility is part of the new waste management plan. Including regulations on packaging and packing waste. GD 561/2020 Regulation on packaging and packaging waste.</t>
  </si>
  <si>
    <t>MCO</t>
  </si>
  <si>
    <t>Monaco</t>
  </si>
  <si>
    <t>Department of the Environment</t>
  </si>
  <si>
    <t>Ban on single-use plastic bags</t>
  </si>
  <si>
    <t>MNG</t>
  </si>
  <si>
    <t>Mongolia</t>
  </si>
  <si>
    <t>Ban on plastic bags 2019</t>
  </si>
  <si>
    <t>MNE</t>
  </si>
  <si>
    <t>Montenegro</t>
  </si>
  <si>
    <t>The Ministry of Sustainable Development and Tourism
The Ministry of Ecology, Spatial Planning, and Urbannisation</t>
  </si>
  <si>
    <t>Plans are in place to establish legislation and guidelines for plastics</t>
  </si>
  <si>
    <t>National Waste Management Plan</t>
  </si>
  <si>
    <t>Waste Management Law. 2024</t>
  </si>
  <si>
    <t>MAR</t>
  </si>
  <si>
    <t>Morocco</t>
  </si>
  <si>
    <t>The Ministry of the Interior</t>
  </si>
  <si>
    <t>Plastic bag ban 2015</t>
  </si>
  <si>
    <t>MOZ</t>
  </si>
  <si>
    <t>Mozambique</t>
  </si>
  <si>
    <t>Ministry of Land, Environment and Rural Development</t>
  </si>
  <si>
    <t>Integrated Urban Solid Waste Management Strategy (2013 – 2025)</t>
  </si>
  <si>
    <t>Regulation on Plastic Bag Management 2015</t>
  </si>
  <si>
    <t>MMR</t>
  </si>
  <si>
    <t>Myanmar</t>
  </si>
  <si>
    <t>The Pollution Control Division (PCD) of the Environmental Conservation Department (ECD) under MONREC.</t>
  </si>
  <si>
    <t>Not developed yet</t>
  </si>
  <si>
    <t>Environmental Conservation Department (ECD), Ministry of the Natural Resources and Environmental Conservation. 2018. National Waste Management Strategy and Master Plan for Myanmar. https://wedocs.unep.org/bitstream/handle/20.500.11822/33128/NWMSMP.pdf?sequence=1&amp;isAllowed=y; https://rkcmpd-eria.org/extended-producer-responsibility/legal-framework/myanmar</t>
  </si>
  <si>
    <t>NAM</t>
  </si>
  <si>
    <t>Namibia</t>
  </si>
  <si>
    <t>Department of Environmental Affairs</t>
  </si>
  <si>
    <t>Plans to ban single-use plastics</t>
  </si>
  <si>
    <t>National Solid Waste Management Strategy</t>
  </si>
  <si>
    <t>Customs Excise Act No. 20 of 1998 (2 Aug. 2019 ammendement) establishing levy on plastic carrier bags. https://conservationnamibia.com/blog/plastic-bag-levy.php#:~:text=The%20levy%20on%20plastic%20carrier%20bags%20was,will%20be%20ploughed%20back%20into%20waste%20management.&amp;text=In%20June%202023%2C%20Minister%20Shifeta%20announced%20the,%E2%80%93%20by%20the%20end%20of%20the%20year.</t>
  </si>
  <si>
    <t>NRU</t>
  </si>
  <si>
    <t>Nauru</t>
  </si>
  <si>
    <t>Government of Commerce, Industry, and Environment. Department of Health.</t>
  </si>
  <si>
    <t>National Solid Waste Management Strategy 2017-2026</t>
  </si>
  <si>
    <t>Environmental Management and Climate Change (Ban on Single Use Plastic Shopping Bags) Regulations 2021. https://www.nauru.gov.nr/media/145414/gazette_53-21.pdf</t>
  </si>
  <si>
    <t>NPL</t>
  </si>
  <si>
    <t>Nepal</t>
  </si>
  <si>
    <t>National Waste Management Support Unit, Environment Standard and Monitoring Unit</t>
  </si>
  <si>
    <t>Plastic Bag Ban Action Plan 2021; Order to ban on production, import, sale, distribution and storage of plastic flowers 2022</t>
  </si>
  <si>
    <t>Solid Waste Management National Policy, 2022; Environment Protection Act 2019 and its Regulations 2020</t>
  </si>
  <si>
    <t>NLD</t>
  </si>
  <si>
    <t>Netherlands</t>
  </si>
  <si>
    <t>Rijkswaterstaat; Ministry of Infrastructure and Water Management [Ministerie van Infrastructuur en Waterstaat]</t>
  </si>
  <si>
    <t>Single-use plastic regulation; EPR; Decree on plastic drinking bottles</t>
  </si>
  <si>
    <t>NCL</t>
  </si>
  <si>
    <t>New Caledonia</t>
  </si>
  <si>
    <t>Agence de la transition écologique (ADEME)</t>
  </si>
  <si>
    <t>Single use plastic ban</t>
  </si>
  <si>
    <t>NZL</t>
  </si>
  <si>
    <t>New Zealand</t>
  </si>
  <si>
    <t>Ministry for the Environment (MFE); Environmental Protection Authority (EPA)</t>
  </si>
  <si>
    <t>Waste Minimisation (Plastic and Related Products) Regulations 2022. http://environment.govt.nz/publications/plastic-products-banned-from-july-2023/</t>
  </si>
  <si>
    <t>Waste Minimisation Act 2008; Litter Act 1979; https://environment.govt.nz/acts-and-regulations/acts/waste-minimisation-act-2008/</t>
  </si>
  <si>
    <t>NIC</t>
  </si>
  <si>
    <t>Nicaragua</t>
  </si>
  <si>
    <t>Ministry of Natural Resources - MARENA</t>
  </si>
  <si>
    <t>NER</t>
  </si>
  <si>
    <t>Niger</t>
  </si>
  <si>
    <t>Ministry of the Environment and the Fight against Desertification</t>
  </si>
  <si>
    <t>Decree No. 2015-321/PRN/MESU/DD of June 25, 2015 determining the terms of application of Law No. 2014-63 of November 5, 2014, prohibiting the production, importation, marketing, use and storage of low-density flexible plastic bags and packaging. https://translate.google.com/?sl=fr&amp;tl=en&amp;text=D%C3%A9cret%20n%C2%B0%202015-321%2FPRN%2FMESU%2FDD%20du%2025%20juin%202015%20d%C3%A9terminant%20les%20modalit%C3%A9s%20d%E2%80%99application%20de%20la%20loi%20n%C2%B0%202014-63%20du%2005%20novembre%202014%2C%20portant%20interdiction%20de%20la%20production%2C%20de%20l%E2%80%99importation%2C%20de%20la%20commercialisation%2C%20de%20l%E2%80%99utilisation%20et%20du%20stockage%20des%20sachets%20et%20des%20emballages%20en%20plastique%20souple%20%C3%A0%20basse%20densit%C3%A9.%0A%0A&amp;op=translate</t>
  </si>
  <si>
    <t>NGA</t>
  </si>
  <si>
    <t>Nigeria</t>
  </si>
  <si>
    <t>The Federal Ministry of Environment</t>
  </si>
  <si>
    <t>National Policy on Plastic Waste Management (NP-PWM)</t>
  </si>
  <si>
    <t>MKD</t>
  </si>
  <si>
    <t>North Macedonia</t>
  </si>
  <si>
    <t>Ministry for the Environment and Spatial Planning [Министерство за животна средина и просторно планирање (МЖСПП)]</t>
  </si>
  <si>
    <t>85% plastic packaging recycling rate target for 2035</t>
  </si>
  <si>
    <t>MNP</t>
  </si>
  <si>
    <t>Northern Mariana Islands</t>
  </si>
  <si>
    <t>Bureau of Environmental and Coastal Quality (BECQ); Office of Planning and Development (OPD)</t>
  </si>
  <si>
    <t>Pilot plastic recycling program</t>
  </si>
  <si>
    <t>Comprehensive Integrated Solid Waste Management Plan 2025-2030</t>
  </si>
  <si>
    <t>Law on Waste Management. NO. 6/2004. Article 54.  https://www.vertic.org/media/National%20Legislation/Macedonia_FYR/MK_Law_on_Waste_Management_6_04.pdf</t>
  </si>
  <si>
    <t>NOR</t>
  </si>
  <si>
    <t>Norway</t>
  </si>
  <si>
    <t>Norwegian Environment Agency</t>
  </si>
  <si>
    <t>Norwegian Plastics Strategy</t>
  </si>
  <si>
    <t>Produktforskriften</t>
  </si>
  <si>
    <t>OMN</t>
  </si>
  <si>
    <t>Oman</t>
  </si>
  <si>
    <t>Oman Environmental Services Holding Company</t>
  </si>
  <si>
    <t>Ministerial Decision No. 23/2020 regarding the ban on the use of single-consumption plastic shopping bags. https://www.ea.gov.om/en/media-center/media-news/news/we-are-continuing-to-implement-the-decision-to-ban-plastic-bags/</t>
  </si>
  <si>
    <t>PAK</t>
  </si>
  <si>
    <t>Pakistan</t>
  </si>
  <si>
    <t>Provincial governments' Environmental Protection Departments</t>
  </si>
  <si>
    <t>PLW</t>
  </si>
  <si>
    <t>Palau</t>
  </si>
  <si>
    <t>Ministry of Public Infrastructure, Industries and Commerce;  Bureau of Public Works (BPW)</t>
  </si>
  <si>
    <t>National Solid Waste Management Strategy (2017–2026)</t>
  </si>
  <si>
    <t>Plastic Bag Ban Act</t>
  </si>
  <si>
    <t>PAN</t>
  </si>
  <si>
    <t>Panama</t>
  </si>
  <si>
    <t>AAUD and MINSA</t>
  </si>
  <si>
    <t>PNG</t>
  </si>
  <si>
    <t>Papua New Guinea</t>
  </si>
  <si>
    <t>Conservation and Environment Protection Authority (CEPA); National Department of Health (NDOH)</t>
  </si>
  <si>
    <t>Plastic litter campaign; Coastal Community Clean-Up</t>
  </si>
  <si>
    <t>Charge for single-use plastic products</t>
  </si>
  <si>
    <t>PRY</t>
  </si>
  <si>
    <t>Paraguay</t>
  </si>
  <si>
    <t>Ministerio del Ambiente y Desarrollo Sostenible (MADES)</t>
  </si>
  <si>
    <t>Law 5414(2015) and known as the Anti-Plastic Bag Law, aimed to reduce the consumption of plastic bags.
Law 7014 (2022) established requirements for the use of recycled material in PET plastic bottles.</t>
  </si>
  <si>
    <t>PER</t>
  </si>
  <si>
    <t>Peru</t>
  </si>
  <si>
    <t>Innovate Peru
Clean Production Agreements
Technical Multisectoral Commission for the Comprehensive Management of Single-Use Plastic
NTP-ISO 18606: 2020 Packaging and the environment. Optimization of the packaging system.
NTP 222.103:2020 ECOEFFICIENCY. Plastic bags with reusable handles for the same purpose. Specifications and test methods”,
NTP-ISO 18606: 2021", which establishes the procedures and requirements for containers that are suitable for recycling, such as plastic bottles, glass, aluminum, cardboard, paper bottles</t>
  </si>
  <si>
    <t xml:space="preserve">Legislative Decree N°1278 “Solid Waste Management Law” This legislative Decree was approved in 2017 by the Peruvian president.
Law N°30884 “Law that Regulates Single-Use Plastic and Disposable Containers or Containers”, approved in 2018 by the Peruvian President.
Supreme Decree N°003-2020-PRODUCE “Roadmap towards a circular economy in the industrial sector”. This Legal instrument was approved in 2020.
</t>
  </si>
  <si>
    <t>PHL</t>
  </si>
  <si>
    <t>Philippines</t>
  </si>
  <si>
    <t>Department of Environment and Natural Resources</t>
  </si>
  <si>
    <t>Roadmap for the Management of Plastic waste and Reduction of Non-Recyclable Single-use Plastics in the Philippines</t>
  </si>
  <si>
    <t>National Solid Waste Management Strategy 2012-2016.</t>
  </si>
  <si>
    <t>Plastic Bag Bans</t>
  </si>
  <si>
    <t>POL</t>
  </si>
  <si>
    <t>Poland</t>
  </si>
  <si>
    <t>Plastic bag fee of PLN 0.2 and potentially a Single-use plastic fee</t>
  </si>
  <si>
    <t>National Waste Management Plan 2028</t>
  </si>
  <si>
    <t>EU Directive 2019/904 and single-use plastic bans</t>
  </si>
  <si>
    <t>PRT</t>
  </si>
  <si>
    <t>Portugal</t>
  </si>
  <si>
    <t>Ministry of the Environment; Portuguese Environment Agency</t>
  </si>
  <si>
    <t>Pilot project for the return of non-reusable plastic beverage packaging</t>
  </si>
  <si>
    <t>National Waste Management Plan 2030 (PNGR 2030)</t>
  </si>
  <si>
    <t>PRI</t>
  </si>
  <si>
    <t>Puerto Rico</t>
  </si>
  <si>
    <t>Ley 51-2022 Prohíbe el expendio y utilización de plásticos de un solo uso en todo establecimiento comercial. https://www.fao.org/faolex/results/details/en/c/LEX-FAOC214891/</t>
  </si>
  <si>
    <t>QAT</t>
  </si>
  <si>
    <t>Qatar</t>
  </si>
  <si>
    <t>Ministry of Municipality and Environment (MME)</t>
  </si>
  <si>
    <t>Single-Use Plastic bag ban</t>
  </si>
  <si>
    <t>ROU</t>
  </si>
  <si>
    <t>Romania</t>
  </si>
  <si>
    <t>Ministry of the Environment [Ministerul Mediului (MM)]; National Environmental Protection Agency [Agenţia Naţională pentru Protecţia Mediului (ANPM)]</t>
  </si>
  <si>
    <t>Achieve a 55% recycling rate for plastic packaging by 2025</t>
  </si>
  <si>
    <t>Ecotax for plastic shopping bags</t>
  </si>
  <si>
    <t>RUS</t>
  </si>
  <si>
    <t>Russian Federation</t>
  </si>
  <si>
    <t>Ministry of Natural Resources and Ecology [Министерство природных ресурсов и экологии]; Rosprirodnadzor [Росприроднадзор]</t>
  </si>
  <si>
    <t>RWA</t>
  </si>
  <si>
    <t>Rwanda</t>
  </si>
  <si>
    <t>Rwanda Environment Management Authority</t>
  </si>
  <si>
    <t>Ban on the manufacture, production, and use of single-use plastics.</t>
  </si>
  <si>
    <t>WSM</t>
  </si>
  <si>
    <t>Samoa</t>
  </si>
  <si>
    <t>single use plastic ban</t>
  </si>
  <si>
    <t>National Waste Management Strategy 2019-2023.</t>
  </si>
  <si>
    <t>Waste (Plastic Bag) Management Regulations 2018
 Regulations 2015 – plastic materials ban for manufacturing, exportation, selling or distribution in Samoa, particularly in shopping bags, packing bags and straws.</t>
  </si>
  <si>
    <t>SMR</t>
  </si>
  <si>
    <t>San Marino</t>
  </si>
  <si>
    <t>Ministry of Territory and Environment, Agriculture, Telecommunications, International Economic Cooperation, Civil Protection and Relations with the Public Works State Corporation</t>
  </si>
  <si>
    <t>ban on certain SUP</t>
  </si>
  <si>
    <t>STP</t>
  </si>
  <si>
    <t>São Tomé and Príncipe</t>
  </si>
  <si>
    <t>SAU</t>
  </si>
  <si>
    <t>Saudi Arabia</t>
  </si>
  <si>
    <t>Ministry of Environment, Water, &amp; Agriculture (MEWA); National Center for Waste Management (MWAN)</t>
  </si>
  <si>
    <t>SASO Technical Regulation for Degradable Plastic Products. 2020. https://saso.gov.sa/en/laws-and-regulations/technical_regulations/pages/regular12.aspx</t>
  </si>
  <si>
    <t>Waste Management Law and Executive Waste Management Regulations. https://mwan.gov.sa/web/content/6359000?unique=ed6d3abbd0795c7383e82b0c93638af77f67f10d&amp;</t>
  </si>
  <si>
    <t>SEN</t>
  </si>
  <si>
    <t>Senegal</t>
  </si>
  <si>
    <t>Ministry of the Environmentand Sustainable Development</t>
  </si>
  <si>
    <t>National Solid Waste Management Program</t>
  </si>
  <si>
    <t>SRB</t>
  </si>
  <si>
    <t>Serbia</t>
  </si>
  <si>
    <t>Ministry of Environmental Protection [Министарство заштите животне средине]; Agency for Environmental Protection [Агенција за заштиту животне средине]</t>
  </si>
  <si>
    <t>Target to recycle 55% of plastic packaging by end of 2030;</t>
  </si>
  <si>
    <t>Fee for plastic bags</t>
  </si>
  <si>
    <t>SYC</t>
  </si>
  <si>
    <t>Seychelles</t>
  </si>
  <si>
    <t>SLE</t>
  </si>
  <si>
    <t>Sierra Leone</t>
  </si>
  <si>
    <t>Ministry of Health and Sanitation</t>
  </si>
  <si>
    <t>Integrated National Waste Management Strategy</t>
  </si>
  <si>
    <t>Tax waiver for recycling activities. Finance Act 2021. https://storymaps.arcgis.com/stories/a5fe04022f2a483bb919c0b649fb2234</t>
  </si>
  <si>
    <t>SGP</t>
  </si>
  <si>
    <t>Singapore</t>
  </si>
  <si>
    <t>The National Environment Agency (NEA)</t>
  </si>
  <si>
    <t>Singapore Packaging Agreement and Packaging Partnership Programme</t>
  </si>
  <si>
    <t>Zero Waste Masterplan</t>
  </si>
  <si>
    <t>SXM</t>
  </si>
  <si>
    <t>Sint Maarten (Dutch part)</t>
  </si>
  <si>
    <t>Ministry of Public Housing, Spatial Planning, Environment</t>
  </si>
  <si>
    <t>SVK</t>
  </si>
  <si>
    <t>Slovak Republic</t>
  </si>
  <si>
    <t>Ministry of the Environment [Ministerstvo životného prostredia Slovenskej republiky]; Slovak Environmental Agency [Slovenská agentúra životného prostredia]</t>
  </si>
  <si>
    <t>Reduction of the use of plastic bags; Ban on the use of disposable plastic packaging for food</t>
  </si>
  <si>
    <t>SUP BAN</t>
  </si>
  <si>
    <t>SVN</t>
  </si>
  <si>
    <t>Slovenia</t>
  </si>
  <si>
    <t>Ministry of the Environment, Climate and Energy</t>
  </si>
  <si>
    <t xml:space="preserve">Decree on the environmental tax on pakcaging waste pollution - The tax rates are 
1 EUR/kg of packaging material for all materials except for plastics made of polymers of vinyl chloride 
or other halogenated olefins for which the rate is 300 EUR/kg
EPR
</t>
  </si>
  <si>
    <t>2021. Decree on the prohibition of placing of certain single-use plastic products on the market in the Republic of Slovenia and on the labelling of certain plastic products.https://www.ecolex.org/details/legislation/decree-on-the-prohibition-of-placing-of-certain-single-use-plastic-products-on-the-market-in-the-republic-of-slovenia-and-on-the-labelling-of-certain-plastic-products-lex-faoc206580/?q=plastic&amp;type=legislation&amp;xdate_min=2020&amp;xdate_max=2021
Act on the Prohibition of Placing Certain Single-Use Plastic Products on the Market: Implements the EU Directive (EU) 2019/904 to reduce the impact of certain plastic products on the environment.
Decree on the Prohibition of Placing Certain Single-Use Plastic Products on the Market: Further regulates single-use plastics.
Decree on the Reduction of the Impact of Certain Plastic Products on the Environment: Aims to minimize plastic pollution.
Decree on Waste: Provides general requirements for waste management.
Decree on Waste Landfill: Addresses landfill practices.
Decree on Packaging and Packaging Waste: Focuses on packaging materials.
Decree on Packaging and Packaging Waste Handling: Partially in force.
Decree on the Environmental Tax on Packaging Waste Pollution: Addresses environmental impact.
Decree on the Environmental Tax on Pollution from Landfilling of Waste: Deals with landfill pollution</t>
  </si>
  <si>
    <t>SLB</t>
  </si>
  <si>
    <t>Solomon Islands</t>
  </si>
  <si>
    <t>Ministry of Environment, Climate change, Distaster Management and Meteorology</t>
  </si>
  <si>
    <t xml:space="preserve">plastic bottle return system 
Eco-bag campaign project
</t>
  </si>
  <si>
    <t xml:space="preserve">Plastic bag ban
</t>
  </si>
  <si>
    <t>SOM</t>
  </si>
  <si>
    <t>Somalia</t>
  </si>
  <si>
    <t>Ministry of Environment, Climate Change</t>
  </si>
  <si>
    <t>Ban on import, trade, and use of Plastic Bags</t>
  </si>
  <si>
    <t>ZAF</t>
  </si>
  <si>
    <t>South Africa</t>
  </si>
  <si>
    <t>Department of Environmental Affairs &amp; the Department of Forestry, Fisheries and the Environment</t>
  </si>
  <si>
    <t>National Waste Management Strategy 2020</t>
  </si>
  <si>
    <t>SSD</t>
  </si>
  <si>
    <t>South Sudan</t>
  </si>
  <si>
    <t>National Ministry of Environment and Forestry</t>
  </si>
  <si>
    <t>Ban on carrier bags and tax on bottles. https://www.bloomberg.com/news/articles/2025-01-20/south-sudan-introduces-plastic-tax-risking-safe-water-bottling</t>
  </si>
  <si>
    <t>ESP</t>
  </si>
  <si>
    <t>Spain</t>
  </si>
  <si>
    <t>Ministry of Agriculture, Food and Environment</t>
  </si>
  <si>
    <t>Directive 2018/851, and (ii) Directive 2019/904, on the reduction of the impact of certain plastic products on the environment (the Single-Use Plastics Directive)
The NWMP 2023-2025 includes measures in the areas of production, consumption, and waste management for plastics. 
Spain has also launched a sinlge use plastic tax.</t>
  </si>
  <si>
    <t>Royal Decree 1055/2022, of 27 December, on packaging and packaging waste (“RD 1055/2022”) </t>
  </si>
  <si>
    <t>LKA</t>
  </si>
  <si>
    <t>Sri Lanka</t>
  </si>
  <si>
    <t>Environment Pollution Control and Chemical Management Division, Ministry of Environment, coordinates development and implementation of policy on waste management.</t>
  </si>
  <si>
    <t>National Action Plan on Plastic Waste Management 2021-2030 (2021)</t>
  </si>
  <si>
    <t xml:space="preserve">Marine Pollution prevention Act no 35 of 2008 ; Regulations No. 2034/33 </t>
  </si>
  <si>
    <t>KNA</t>
  </si>
  <si>
    <t>St. Kitts and Nevis</t>
  </si>
  <si>
    <t>St. Kitts Solid Waste Management Corporation</t>
  </si>
  <si>
    <t>Plastic Waste Reduction Bill, 2025. https://www.sknis.gov.kn/2025/03/21/saint-kitts-and-nevis-enacts-comprehensive-plastic-waste-reduction-act-2025/#:~:text=The%20importation%20of%20Styrofoam%20containers,completely%20eliminated%20by%20November%202025.</t>
  </si>
  <si>
    <t>LCA</t>
  </si>
  <si>
    <t>St. Lucia</t>
  </si>
  <si>
    <t>Saint Lucia Solid Waste Management Authority</t>
  </si>
  <si>
    <t>The Styrofoam and Plastics Food Service Containers (Prohibition) Act, 2019</t>
  </si>
  <si>
    <t xml:space="preserve">Styrofoam and Plastics Food Service Containers (Prohibition) Act No. 22 of 2019. https://externalaffairs.govt.lc/news/amendment-of-styrofoam-and-plastics-phase-out-implementation-dates </t>
  </si>
  <si>
    <t>MAF</t>
  </si>
  <si>
    <t>St. Martin (French part)</t>
  </si>
  <si>
    <t>Verde SXM</t>
  </si>
  <si>
    <t>VCT</t>
  </si>
  <si>
    <t>St. Vincent and the Grenadines</t>
  </si>
  <si>
    <t>Central Water and Sewerage Authority</t>
  </si>
  <si>
    <t>Import and Export (Control) (Amendment) Regulations, Statutory Instrument no. 38 of 2022. https://www.fao.org/faolex/results/details/en/c/LEX-FAOC225985/</t>
  </si>
  <si>
    <t>SDN</t>
  </si>
  <si>
    <t>Sudan</t>
  </si>
  <si>
    <t>Ministry of Environment, Natural Resources and Physical Development</t>
  </si>
  <si>
    <t>SUR</t>
  </si>
  <si>
    <t>Suriname</t>
  </si>
  <si>
    <t>The Ministry of Spatial Planning and Environment</t>
  </si>
  <si>
    <t>SWE</t>
  </si>
  <si>
    <t>Sweden</t>
  </si>
  <si>
    <t>Naturvårdsverket - The Swedish EPA</t>
  </si>
  <si>
    <t>National Plastic Action Plan</t>
  </si>
  <si>
    <t>CHE</t>
  </si>
  <si>
    <t>Switzerland</t>
  </si>
  <si>
    <t>Federal Department of the Environment, Transport, Energy and Communications (DETEC) [Eidgenössisches Departement für Umwelt, Verkehr, Energie und Kommunikation (UVEK)]; Federal Office for the Environment (FOEN) [Bundesamt für Umwelt (BAFU)]</t>
  </si>
  <si>
    <t>EU Plastics Strategy</t>
  </si>
  <si>
    <t>SYR</t>
  </si>
  <si>
    <t>Syrian Arab Republic</t>
  </si>
  <si>
    <t>Ministry of Local Administration and Environment (MoLAE)</t>
  </si>
  <si>
    <t>TWN</t>
  </si>
  <si>
    <t>Taiwan, China</t>
  </si>
  <si>
    <t xml:space="preserve">EPA encourages industries to mix recycled plastic materials into packaging materials, aiming to achieve a 25% usage rate of recycled materials by 2025 and a 30% usage rate by 2030. 
Resource recycling system. 
Restriction on the use of single-use plastic products. 
</t>
  </si>
  <si>
    <t>5+2 Industrial Innovation Plan</t>
  </si>
  <si>
    <t>Targets and Implementation Methods for Restriction of Single-Use Lodging Supplies (一次用旅宿用品限制使用對象及實施方式). 
Targets and Implementation Methods for Restriction of Internet Shopping Packaging (網際網路購物包裝限制使用對象及實施方式). 
Guidelines for Reducing Online Shopping Packaging 2.0 (網購包裝減量指引2.0).</t>
  </si>
  <si>
    <t>TJK</t>
  </si>
  <si>
    <t>Tajikistan</t>
  </si>
  <si>
    <t>Ministry of Economic Development and Trade of the Republic of Tajikistan</t>
  </si>
  <si>
    <t>TZA</t>
  </si>
  <si>
    <t>Tanzania</t>
  </si>
  <si>
    <t>National Environmental Management Council</t>
  </si>
  <si>
    <t>Environmental Management (Prohibition of Plastic Carrier Bags and Plastic Bottle Cap Seals) Regulations, 2022 (G.N. No.291 of 2022). https://www.fao.org/faolex/results/details/en/c/LEX-FAOC215725/</t>
  </si>
  <si>
    <t>THA</t>
  </si>
  <si>
    <t>Thailand</t>
  </si>
  <si>
    <t>The Ministry of Natural Resources and Environment (MONRE)</t>
  </si>
  <si>
    <t>Action plan on plastic waste management phase 2 (2023-2027)</t>
  </si>
  <si>
    <t>Notification of the Department of National Parks, Wildlife and Plant Conservation on the Prohibition of Single-use Plastics from National Parks was issued by virtue of the National Park Act, B.E. 2562 (2019). https://www.fao.org/faolex/results/details/en/c/LEX-FAOC211135/; Roadmap on Plastic Waste Management (2018 – 2030). https://www.pcd.go.th/wp-content/uploads/2021/10/pcdnew-2021-10-19_08-59-54_995414.pdf</t>
  </si>
  <si>
    <t>TLS</t>
  </si>
  <si>
    <t>Timor-Leste</t>
  </si>
  <si>
    <t>Ministry of Public Works
Ministry of State Administration
Ministry of Industry, Commerce and Environment 
Ministry of Health</t>
  </si>
  <si>
    <t>National Waste Management Guideline (2024)</t>
  </si>
  <si>
    <t>TGO</t>
  </si>
  <si>
    <t>Togo</t>
  </si>
  <si>
    <t>Ministry of Environment (MoE)</t>
  </si>
  <si>
    <t>Ban on the production, import and marketing of non-biodegradable plastic bags</t>
  </si>
  <si>
    <t>Draft Strategy under development (initial planning)</t>
  </si>
  <si>
    <t>TON</t>
  </si>
  <si>
    <t>Tonga</t>
  </si>
  <si>
    <t>Ministry of Meteorology, Energy, Information, Disaster Management, Environment, Climate Change amd Communications (MEIDECC)</t>
  </si>
  <si>
    <t>Public Enterprises Act (2002) and Companies Act (1995)</t>
  </si>
  <si>
    <t>Local single-use plastics campaigns</t>
  </si>
  <si>
    <t>Tonga Low Emission Development Strategy (2021–2050)</t>
  </si>
  <si>
    <t>Plastic Levy</t>
  </si>
  <si>
    <t>TTO</t>
  </si>
  <si>
    <t>Trinidad and Tobago</t>
  </si>
  <si>
    <t>Environmental Management Authority</t>
  </si>
  <si>
    <t>Beverage Containers Deposit Return Policy for TnT 2024</t>
  </si>
  <si>
    <t>National Waste Recycling Policy 2015</t>
  </si>
  <si>
    <t>TUN</t>
  </si>
  <si>
    <t>Tunisia</t>
  </si>
  <si>
    <t>Ministry of Infrastructure and Environment; National Waste Management Agency (ANGed)</t>
  </si>
  <si>
    <t>Collection system for plastic</t>
  </si>
  <si>
    <t>Eco-tax; Plastic bag ban</t>
  </si>
  <si>
    <t>TUR</t>
  </si>
  <si>
    <t>Türkiye</t>
  </si>
  <si>
    <t>Ministry of Environment and Urbanisation [Çevre ve Şehircilik Bakanlığı]; Turkish Environment Agency [Çevre ajansı]</t>
  </si>
  <si>
    <t>Deposit Return Scheme Project</t>
  </si>
  <si>
    <t>Plastic bag fee</t>
  </si>
  <si>
    <t>TKM</t>
  </si>
  <si>
    <t>Turkmenistan</t>
  </si>
  <si>
    <t>Ministry of Agriculture and Environmental Protection</t>
  </si>
  <si>
    <t>TCA</t>
  </si>
  <si>
    <t>Turks and Caicos Islands</t>
  </si>
  <si>
    <t>Environmental Health Department</t>
  </si>
  <si>
    <t>TUV</t>
  </si>
  <si>
    <t>Tuvalu</t>
  </si>
  <si>
    <t>The Solid Waste Agency of Tuvalu (SWAT)</t>
  </si>
  <si>
    <t>The import of single-use plastics has been banned since 2019</t>
  </si>
  <si>
    <t>UGA</t>
  </si>
  <si>
    <t>Uganda</t>
  </si>
  <si>
    <t>Ministry of Water and Environment (MWE); National Environment Management Authority (NEMA)</t>
  </si>
  <si>
    <t>National Urban Solid Waste Management (NUSWM) Policy</t>
  </si>
  <si>
    <t>UKR</t>
  </si>
  <si>
    <t>Ukraine</t>
  </si>
  <si>
    <t>Ministry of Infrastructure of Ukraine; Ministry of Ecology and Natural Resources of Ukraine</t>
  </si>
  <si>
    <t>National Waste Management Strategy</t>
  </si>
  <si>
    <t>Law on Plastic Packaging</t>
  </si>
  <si>
    <t>ARE</t>
  </si>
  <si>
    <t>United Arab Emirates</t>
  </si>
  <si>
    <t>Ministry of Climate Change and Environment; Tadweer; Dubai Waste Management Department; Bee'ah</t>
  </si>
  <si>
    <t>Plastic bottle return scheme</t>
  </si>
  <si>
    <t>Free distribution of single use plastic ban</t>
  </si>
  <si>
    <t>GBR</t>
  </si>
  <si>
    <t>United Kingdom</t>
  </si>
  <si>
    <t>Department for Environment, Food &amp; Rural Affairs</t>
  </si>
  <si>
    <t>Plastic bag charge  
EPR</t>
  </si>
  <si>
    <t>No business will be able to sell single-use plastic cutlery, balloon stick nor polystyrene cups and food containers (England only)</t>
  </si>
  <si>
    <t>USA</t>
  </si>
  <si>
    <t>United States</t>
  </si>
  <si>
    <t>United States Environmental Protection Agency (EPA)</t>
  </si>
  <si>
    <t>National Recycling Strategy, Deposit-refund strategies</t>
  </si>
  <si>
    <t>National Recycling Strategy</t>
  </si>
  <si>
    <t>Pay-as-you-throw (PAYT) policy, Landfill bans, Product bans</t>
  </si>
  <si>
    <t>URY</t>
  </si>
  <si>
    <t>Uruguay</t>
  </si>
  <si>
    <t>Estimated</t>
  </si>
  <si>
    <t>Ministerio de Ambiente</t>
  </si>
  <si>
    <t>Uruguay + Circular National Waste Management Plan.</t>
  </si>
  <si>
    <t>Packaging Law (Law No. 17.849), Law on the Sustainable Use of Plastic Bags (Law No. 19,655 of August 17, 2018), Resolution N° 272/021 Reduction in plastic waste generation</t>
  </si>
  <si>
    <t>UZB</t>
  </si>
  <si>
    <t>Uzbekistan</t>
  </si>
  <si>
    <t>Ministry of Ecology, Environmental Protection and Climate Change of the Republic of Uzbekistan</t>
  </si>
  <si>
    <t>Ban on the production of plastic packaging with a thickness of less than 100 microns.</t>
  </si>
  <si>
    <t>VUT</t>
  </si>
  <si>
    <t>Vanuatu</t>
  </si>
  <si>
    <t>Department of Environemtnal Protection and Conservation</t>
  </si>
  <si>
    <t>National Waste Management, Pollution Control Strategy and Implementation Plan 2016-2020</t>
  </si>
  <si>
    <t>Single-use plastic ban (2018)</t>
  </si>
  <si>
    <t>VEN</t>
  </si>
  <si>
    <t>Venezuela, RB</t>
  </si>
  <si>
    <t>Ministry of People's Power for Ecosocialism (MINEC) [Ministerio del Poder Popular para el Ecosocialismo (MINEC)]</t>
  </si>
  <si>
    <t>VNM</t>
  </si>
  <si>
    <t>Vietnam</t>
  </si>
  <si>
    <t>Environmental Pollution Control Department</t>
  </si>
  <si>
    <t>National Action Plan for Management of Marine Plastic Litter by 2030</t>
  </si>
  <si>
    <t>National Circular Economy Action Plan</t>
  </si>
  <si>
    <t>Law on Environmental Protection 2020, Decision No. 2395/QD-BTNMT;  Directive No. 33/CT-TTg (August 20, 2020) on ; Decision No. 1746/QD-TTg (December 4, 2019),</t>
  </si>
  <si>
    <t>VIR</t>
  </si>
  <si>
    <t>Virgin Islands (U.S.)</t>
  </si>
  <si>
    <t>USVI Department of Planning &amp; Natural Resources</t>
  </si>
  <si>
    <t>2019 U.S. Virgin Islands Code Title 29 - Public Planning and Development Chapter 8 - Virgin Islands Waste Management Authority Subchapter II - Regulation of Plastic Bags § 500u. Ban on plastic checkout bags and non-recyclable paper bags. https://law.justia.com/codes/virgin-islands/2019/title-29/chapter-8/subchapter-ii/500u/</t>
  </si>
  <si>
    <t>PSE</t>
  </si>
  <si>
    <t>West Bank and Gaza</t>
  </si>
  <si>
    <t>Environment Quality Authority (EQA) and Ministry of Local Government (MoLG)</t>
  </si>
  <si>
    <t>YEM</t>
  </si>
  <si>
    <t>Yemen, Rep.</t>
  </si>
  <si>
    <t>Department for Waste Management</t>
  </si>
  <si>
    <t>Oxo-biodegradable Plastic Law. https://www.investormeetcompany.com/companies/symphony-environmental-technologies-plc/rns/2347317/view. https://www.youtube.com/watch?v=y4AJR1WS6f0</t>
  </si>
  <si>
    <t>ZMB</t>
  </si>
  <si>
    <t>Zambia</t>
  </si>
  <si>
    <t>Ministry of Green Economy and Environment (MOGEE); Zambia Environmental Management Agency (ZEMA)</t>
  </si>
  <si>
    <t>ZWE</t>
  </si>
  <si>
    <t>Zimbabwe</t>
  </si>
  <si>
    <t>Ministry of Environment, Climate, Tourism and Hospitality Industry; Environmental Management Agency</t>
  </si>
  <si>
    <t>Zimbabwe Integrated Solid Waste Management Plan</t>
  </si>
  <si>
    <t>Plastic Packaging and Plastic Bottles Regulation 2010. https://faolex.fao.org/docs/pdf/zim171720.pdf</t>
  </si>
  <si>
    <t>source</t>
  </si>
  <si>
    <t>page_figure</t>
  </si>
  <si>
    <t>weblink</t>
  </si>
  <si>
    <t>notes</t>
  </si>
  <si>
    <t>Other</t>
  </si>
  <si>
    <t>https://packagingschool.com/lessons/extended-producer-responsibility-laws-for-packaging-around-the-world</t>
  </si>
  <si>
    <t>https://www.dcceew.gov.au/environment/protection/waste/publications/national-waste-reports/2013/product-stewardship; https://www.dcceew.gov.au/environment/protection/waste/product-stewardship/products-schemes/television-computer-recycling-scheme; https://www.legislation.gov.au/Series/F2021L00624; https://www.legislation.gov.au/Series/C2020A00119</t>
  </si>
  <si>
    <t>Page 4</t>
  </si>
  <si>
    <t>Page 1</t>
  </si>
  <si>
    <t>End-of-Life Vehicles.</t>
  </si>
  <si>
    <t>https://www.gov.cn/gongbao/content/2017/content_5163453.htm; https://www.mee.gov.cn/ywgz/fgbz/fl/202004/t20200430_777580.shtml; https://www.lawinfochina.com/display.aspx?id=7025&amp;lib=law; https://doi.org/10.1016/j.cec.2024.100076</t>
  </si>
  <si>
    <t>https://www.mowe.gov.fj/wp-content/uploads/2019/08/Waste-Disposal-Recycling-Reg-2007.pdf; https://www.mowe.gov.fj/wp-content/uploads/2019/08/Environment-Management-Act-2005.pdf; https://www.mowe.gov.fj/legislation-and-acts/</t>
  </si>
  <si>
    <t>https://www.cesec.pf/sites/default/files/migration/files/Avis%20141-2013.pdf; https://www.presidence.pf/fakarava-des-mesures-fortes-pour-proteger-la-biosphere/</t>
  </si>
  <si>
    <t>oil, end-of-life vehicles</t>
  </si>
  <si>
    <t>https://www.epd.gov.hk/epd/english/environmentinhk/waste/pro_responsibility/index.html</t>
  </si>
  <si>
    <t>https://jdih.maritim.go.id/en/peraturan-menteri-lingkungan-hidup-dan-kehutanan-no-p75menlhksetjenkum1102019-tahun-2019</t>
  </si>
  <si>
    <t>The scheme is operated by members of the industry but several functions in th producer responsibility organsiation are carried out by the government.</t>
  </si>
  <si>
    <t>https://laws.e-gov.go.jp/law/407AC0000000112/; https://www.env.go.jp/content/900452887.pdf; https://www.jcpra.or.jp/law/overview.html; https://www.jcpra.or.jp/english/profile.html; https://www.env.go.jp/recycle/yoki/a_1_recycle/#recycle_06; http://m-yamaguchi.jp/english_page/EPR_in_Japan_2002_ECP_No19.pdf</t>
  </si>
  <si>
    <t>https://www.undp.org/sites/g/files/zskgke326/files/2022-06/Circular%20Economy%20Strategy%20and%20Action%20Plan%202021%20%282%29.pdf</t>
  </si>
  <si>
    <t>https://law.go.kr/lsSc.do?section=&amp;menuId=1&amp;subMenuId=15&amp;tabMenuId=81&amp;eventGubun=060101&amp;query=%EC%9E%90%EC%9B%90%EC%9D%98%EC%A0%88%EC%95%BD%EA%B3%BC%EC%9E%AC%ED%99%9C%EC%9A%A9%EC%B4%89%EC%A7%84%EC%97%90%EA%B4%80%ED%95%9C%EB%B2%95%EB%A5%A0#undefined; https://law.go.kr/lsSc.do?section=&amp;menuId=1&amp;subMenuId=15&amp;tabMenuId=81&amp;eventGubun=060101&amp;query=%EC%9E%90%EC%9B%90%EC%9D%98%EC%A0%88%EC%95%BD%EA%B3%BC%EC%9E%AC%ED%99%9C%EC%9A%A9%EC%B4%89%EC%A7%84%EC%97%90%EA%B4%80%ED%95%9C%EB%B2%95%EB%A5%A0#undefined; https://www.me.go.kr/eng/web/index.do?menuId=466</t>
  </si>
  <si>
    <t>Other - tires, lubricants, fluorescent lamps, buoys for farming marine products,</t>
  </si>
  <si>
    <t>https://www.switch-asia.eu/site/assets/files/4237/lao_npap_eng_5sep2024.pdf</t>
  </si>
  <si>
    <t>https://www.nres.gov.my/ms-my/pustakamedia/Penerbitan/MALAYSIA%20PLASTICS%20SUSTAINABILITY%20ROADMAP%202021-2030.pdf; https://pulse.icdm.com.my/wp-content/uploads/2021/09/Twelfth-Plan-Document_compressed-1.pdf; https://erp-recycling.org/news-and-events/2024/11/malaysia-introduce-epr/#:~:text=The%20Malaysian%20Ministry%20of%20Investment,of%20their%20products%2C%20including%20disposal.</t>
  </si>
  <si>
    <t>pg. 29, Article 40.5-6</t>
  </si>
  <si>
    <t>https://faolex.fao.org/docs/pdf/mon185679.pdf; https://leap.unep.org/en/countries/mn/national-legislation/law-waste</t>
  </si>
  <si>
    <t>https://wedocs.unep.org/bitstream/handle/20.500.11822/33128/NWMSMP.pdf?sequence=1&amp;isAllowed=y; https://rkcmpd-eria.org/extended-producer-responsibility/legal-framework/myanmar</t>
  </si>
  <si>
    <t>Ministry for the Environment. 'Priority Product Stewardship'. Last Updated 3 Feb 2025.</t>
  </si>
  <si>
    <t>https://environment.govt.nz/what-government-is-doing/areas-of-work/waste/product-stewardship/priority-product-stewardship/</t>
  </si>
  <si>
    <t>Plastic Packaging, Farm plastics.</t>
  </si>
  <si>
    <t>N/A</t>
  </si>
  <si>
    <t>https://emb.gov.ph/ra-11898-extended-producer-responsibility-on-plastic-packaging-waste/; https://emb.gov.ph/wp-content/uploads/2023/02/DAO-2023-02.pdf; https://emb.gov.ph/wp-content/uploads/2024/05/DENR-DAO-NO.-2024-04-COMPLIANCE-REPORTING-AND-AUDIT-GUIDELINES-FOR-REPUBLIC-ACT-NO.-11898-OR-THE-EXTENDED-PRODUCER-RESPONSIBI-1.pdf;  https://emb.gov.ph/wp-content/uploads/2023/02/RA-11898.pdf</t>
  </si>
  <si>
    <t>Used oil.</t>
  </si>
  <si>
    <t>https://solomons.gov.sb/solomon-islands-supported-provision-for-product-design-composition-and-performance-and-extended-producer-responsibility-in-international-legally-binding-instrument/#:~:text=Freliz%20Fakarii%20stated%20that%20%E2%80%9CSolomon,plastic%20or%20plastic%20products%20downstream.; https://pacwasteplus.org/news/extended-producer-responsibility-one-step-closer-in-solomon-islands/</t>
  </si>
  <si>
    <t>Voluntary EPR with Plastics-only scope being expanded to mandatory EPR for 5 packaging materials (expected to launch by 2027). Pilot launched in 2024 in Chonburi Province.</t>
  </si>
  <si>
    <t>https://www.pcd.go.th/laws/31505/; https://tipmse.fti.or.th/2012/th/activities/public_dt.asp/?id=111; https://www.pcd.go.th/wp-content/uploads/2023/06/pcdnew-2023-06-15_08-07-42_392659.pdf; https://rkcmpd-eria.org/index.php/extended-producer-responsibility/legal-framework/thailand</t>
  </si>
  <si>
    <t>Pg. 904, Article 6</t>
  </si>
  <si>
    <t>https://www.tip.mci.gov.tl/pt-pt/site/display/1160; https://faolex.fao.org/docs/pdf/tim198631.pdf; https://leap.unep.org/en/countries/tl/national-legislation/decree-law-no-372020-regulating-sale-import-and-production-bags</t>
  </si>
  <si>
    <t>https://www.sprep.org/sites/default/files/users/Zhiyad%20Khan/Tonga%20Single-Use%20Plastic%20Roadmap_final.pdf</t>
  </si>
  <si>
    <t>https://tuvalu-data.sprep.org/system/files/Waste%20Management%20(LevyDeposit)%20Regulation%202019_V01.docx_v23.05.2019%20.pdf; https://tuvalu-legislation.tv/cms/images/LEGISLATION/PRINCIPAL/2017/2017-0022/2017-0022_2.pdf</t>
  </si>
  <si>
    <t>https://www.ttpia.org.tw/upload/files/17349232490338.pdf; https://oaout.moenv.gov.tw/Law/EngLawContent.aspx?lan=E&amp;id=186; https://www.nea.gov.sg/our-services/waste-management/3r-programmes-and-resources/e-waste-management/extended-producer-responsibility-(epr)-system-for-e-waste-management-system; https://www.epa.gov/sites/default/files/2014-05/documents/handout-1a-regulations.pdf</t>
  </si>
  <si>
    <t>Food waste</t>
  </si>
  <si>
    <t>https://thuvienphapluat.vn/van-ban/Tai-nguyen-Moi-truong/Luat-so-72-2020-QH14-Bao-ve-moi-truong-2020-431147.aspx; https://en.monre.gov.vn/towards-the-establishment-of-a-national-epr-council-7599.htm; https://rkcmpd-eria.org/index.php/extended-producer-responsibility/legal-framework/viet-nam</t>
  </si>
  <si>
    <t>https://environment.gov.vu/images/Waste.Management/NWMS-IP%202016-2020.pdf</t>
  </si>
  <si>
    <t>Used oil</t>
  </si>
  <si>
    <t>https://aku.gov.al/wp-content/uploads/2016/06/Vendim_i_KM_177_06-03-20121-Ambalazhet-dhe-Mbetjet-e-tyre1.pdf; https://turizmi.gov.al/strategjia-e-mjedisit/</t>
  </si>
  <si>
    <t>(1) https://www.env.am/en/news/system-extended-producer-responsibility-17-11-2022; https://amcham.am/introduction-of-the-extended-producer-responsibility-system-in-the-framework-of-the-eu-armenia-comprehensive-and-enhanced-partnership-agreement-cepa/</t>
  </si>
  <si>
    <t>https://www.ris.bka.gv.at/GeltendeFassung.wxe?Abfrage=Bundesnormen&amp;Gesetzesnummer=20008902; https://www.bmimi.gv.at/themen/klima_umwelt/abfall/recht/vo/verpackung.html; https://www.bmimi.gv.at/themen/klima_umwelt/abfall/recht/vo.html; https://www.usp.gv.at/themen/betrieb-und-umwelt/abfallrecht/weitere-informationen-abfallrecht/abfall-und-produktregelungen/transport-und-verkaufsverpackungen/verpackung-pflichten-unternehmen.html</t>
  </si>
  <si>
    <t>https://e-qanun.az/framework/41394; https://www.eu4environment.org/events/national-validation-workshop-in-azerbaijan-on-extended-producers-responsibility-epr-schemes/; https://report.az/en/cop29/azerbaijan-hosts-high-level-talks-on-plastic-waste-management/; https://g20mpl.org/partners/azerbaijan</t>
  </si>
  <si>
    <t>https://www.ivcie.be/wp-content/uploads/2021/05/Cooperation-agreement-of-04-11-2008-on-the-prevention-and-management-of-packaging-waste.pdf; https://www.ivcie.be/en/the-cooperation-agreement/; https://www.eea.europa.eu/publications/many-eu-member-states/belgium</t>
  </si>
  <si>
    <t>https://www.moew.government.bg/bg/otpaduci/specifichni-otpaduchni-potoci/otpaduci-ot-opakovki/zakonodatelstvo/; https://www.moew.government.bg/static/media/ups/tiny/%D0%A3%D0%9E%D0%9E%D0%9F/%D0%97%D0%B0%D0%BA%D0%BE%D0%BD%D0%BE%D0%B4%D0%B0%D1%82%D0%B5%D0%BB%D1%81%D1%82%D0%B2%D0%BE/WASTE%20MANAGEMENT%20ACT_13.pdf</t>
  </si>
  <si>
    <t>https://www.ekopak.ba/en/legislation</t>
  </si>
  <si>
    <t>https://president.gov.by/en/events/commentary-to-decree-no-381-of-28-july-2014-9390</t>
  </si>
  <si>
    <t>Used tires, oil, fertilizers, lamps, thermometers</t>
  </si>
  <si>
    <t>https://www.fedlex.admin.ch/eli/cc/2021/633/de; https://www.bafu.admin.ch/bafu/en/home/topics/waste/guide-to-waste-a-z/electrical-and-electronic-equipment.html</t>
  </si>
  <si>
    <t xml:space="preserve">https://www.moa.gov.cy/moa/environment/environmentnew.nsf/page21_en/page21_en?OpenDocument; </t>
  </si>
  <si>
    <t>https://www.ekokom.cz/uploads/attachments/English/Packaging%20Act%20477-2001%20Coll._2021.pdf; https://mzp.gov.cz/cz/agenda/odpadove-hospodarstvi-a-cirkularni-ekonomika/zpetny-odber-vyrobku-a-obalu/obaly</t>
  </si>
  <si>
    <t xml:space="preserve">https://www.bgbl.de/xaver/bgbl/start.xav?startbk=Bundesanzeiger_BGBl&amp;jumpTo=bgbl117s2234.pdf#/text/bgbl117s2234.pdf?_ts=1744561486353; https://www.gesetze-im-internet.de/verpackg/BJNR223410017.html; https://www.umweltbundesamt.de/en/topics/waste-resources/waste-management/waste-regulations; https://www.verpackungsregister.org/en/foundation-authority/about-us; </t>
  </si>
  <si>
    <t>https://producentansvar.dk/en/documents/statutory-order-no-1271-of-06-december-2021-on-certain-requirements-for-packaging/; https://producentansvar.dk/en/</t>
  </si>
  <si>
    <t>https://www.boe.es/buscar/act.php?id=BOE-A-2022-22690#:~:text=Este%20real%20decreto%20tiene%20por,todo%20su%20ciclo%20de%20vida.; https://www.miteco.gob.es/es/calidad-y-evaluacion-ambiental/temas/prevencion-y-gestion-residuos/flujos/responsabilidad-ampliada.html; https://www.ecoembes.com/en/meet-ecoembes/what-is-ecoembes/our-reason-for-being-and-purpose</t>
  </si>
  <si>
    <t>https://www.riigikogu.ee/tegevus/eelnoud/eelnou/cf2190f4-e433-4590-8667-2ae543bcb20f/J%C3%A4%C3%A4tmeseaduse%20ja%20pakendiseaduse%20muutmise%20seadus/</t>
  </si>
  <si>
    <t>https://www.finlex.fi/fi/lainsaadanto/2021/1029; https://www.finlex.fi/fi/lainsaadanto/2011/646; https://ym.fi/kertakayttomuovien-kulutuksen-rajoittaminen-lainsaadannolla; https://pub.norden.org/temanord2024-506/5-implementation-of-epr-in-the-nordic-countries.html</t>
  </si>
  <si>
    <t>End-of-Life Vehicles; tires; pharmaceutical</t>
  </si>
  <si>
    <t>https://www.legifrance.gouv.fr/codes/section_lc/LEGITEXT000006074220/LEGISCTA000006143752/#LEGISCTA000006143752; https://www.ecologie.gouv.fr/politiques-publiques/economie-circulaire-et-dechets</t>
  </si>
  <si>
    <t>Includes non-packaging paper (printed paper, graphic paper); 1. Construction products or materials of building sector; Synthetic chewing gum, tobacco products equipped with filters; Recreational or sports vessels, Sports and leisure equipment; Mineral or synthetic oils, lubricating or industrial; contents and containers of chemicals; DIY and garden items; Toys;
2. Textiles, single-use sanitary textiles.</t>
  </si>
  <si>
    <t>https://www.legislation.gov.uk/uksi/2024/1332/contents/made; https://www.gov.uk/government/news/packuk-the-new-scheme-administrator-packaging-extended-producer-responsibility; https://www.valpak.co.uk/epr-drs/weee/; https://www.valpak.co.uk/epr-drs/batteries/</t>
  </si>
  <si>
    <t>https://mepa.gov.ge/En/News/Details/20899/; https://mepa.gov.ge/Ge/Files/ViewFile/1643</t>
  </si>
  <si>
    <t>oils, tires</t>
  </si>
  <si>
    <t>https://www.gibraltarlaws.gov.gi/legislations/public-health-act-amendment-regulations-2020-5411/download</t>
  </si>
  <si>
    <t>https://www.eoan.gr/wp-content/uploads/2017/11/4496_2017.pdf; https://www.eoan.gr/%ce%b5%ce%bd%ce%b1%ce%bb%ce%bb%ce%b1%ce%ba%cf%84%ce%b9%ce%ba%ce%ae-%ce%b4%ce%b9%ce%b1%cf%87%ce%b5%ce%af%cf%81%ce%b9%cf%83%ce%b7/%cf%83%cf%85%cf%83%ce%ba%ce%b5%cf%85%ce%b1%cf%83%ce%af%ce%b5%cf%82-%ce%b1%cf%80%cf%8c%ce%b2%ce%bb%ce%b7%cf%84%ce%b1-%cf%83%cf%85%cf%83%ce%ba%ce%b5%cf%85%ce%b1%cf%83%ce%b9%cf%8e%ce%bd/; https://www.gov.gr/en/sdg/goods/recycling-and-waste-management/waste-streams/packaging-waste</t>
  </si>
  <si>
    <t>https://narodne-novine.nn.hr/clanci/sluzbeni/2015_08_88_1735.html; https://www.fzoeu.hr/en/packaging-and-packaging-waste-fee-1407</t>
  </si>
  <si>
    <t>https://njt.hu/jogszabaly/2012-442-20-22; https://nhkv.hu/en/relevant-regulations/</t>
  </si>
  <si>
    <t>https://www.irishstatutebook.ie/eli/2022/si/659/made/en/print?q=packaging; https://repak.ie/; https://www.epa.ie/our-services/monitoring--assessment/waste/national-waste-statistics/packaging/; https://www.gov.ie/en/department-of-the-environment-climate-and-communications/press-releases/minister-ryan-signs-new-packaging-and-packaging-waste-rules-into-law/</t>
  </si>
  <si>
    <t>https://island.is/reglugerdir/nr/1124-2005; https://www.althingi.is/lagas/nuna/2002162.html; https://www.urvinnslusjodur.is/</t>
  </si>
  <si>
    <t>End-of-Life Vehicles; plastic straws; oil products; paint and pigments, other hazardous items;</t>
  </si>
  <si>
    <t>https://www.gazzettaufficiale.it/dettaglio/codici/materiaAmbientale; https://www.mase.gov.it/pagina/responsabilita-estesa-del-produttore</t>
  </si>
  <si>
    <t>https://ewastemonitor.info/wp-content/uploads/2024/02/National_E-waste_Monitor_Kyrgyzstan_EN_final_web.pdf; https://cis-legislation.com/document.fwx?rgn=153218</t>
  </si>
  <si>
    <t>lighting</t>
  </si>
  <si>
    <t>https://www.e-tar.lt/portal/legalAct.html?documentId=TAR.9D1ADB9E1518; https://www.zaliasistaskas.lt/</t>
  </si>
  <si>
    <t>https://legilux.public.lu/eli/etat/leg/loi/2022/06/09/a270/jo; https://environnement.public.lu/fr/offall-ressourcen/types-de-dechets/dechets-emballages.html; https://guichet.public.lu/en/entreprises/urbanisme-environnement/dechets-subst-dangereuses/recyclage-valorisation-dechets/dechets-emballage.html; https://www.valorlux.lu/en</t>
  </si>
  <si>
    <t>https://likumi.lv/ta/en/en/id/57207; https://www.packaging.lv/en/legislation/</t>
  </si>
  <si>
    <t>1. Textiles (Fully operational)
2. End-of-Life Vehicles (Planning Stage).</t>
  </si>
  <si>
    <t>https://journaldemonaco.gouv.mc/Journaux/2021/Journal-8537/Ordonnance-Souveraine-n-8.633-du-29-avril-2021-portant-modification-et-codification-de-la-reglementation-relative-aux-dechets#:~:text=%2D%20En%20application%20du%20principe%20de,des%20d%C3%A9chets%20qui%20en%20proviennent; https://legimonaco.mc/code/code-environnement@2023.05.13/</t>
  </si>
  <si>
    <t>https://mediu.gov.md/ro/node/443; https://www.legis.md/cautare/getResults?doc_id=143643&amp;lang=ro; https://www.legis.md/cautare/getResults?doc_id=143207&amp;lang=ro; https://www.legis.md/cautare/getResults?doc_id=144986&amp;lang=ro; http://legis.md/cautare/getResults?doc_id=144892&amp;lang=ro</t>
  </si>
  <si>
    <t>Tyres, Used oil, end-of-life vehicles</t>
  </si>
  <si>
    <t>https://www.moepp.gov.mk/regulativa/nacionalno-zakonodavstvo/upravuvanje-otpad; https://www.moepp.gov.mk/wp-content/uploads/2022/01/SLUBEN-VESNIK-NA-RSM-br.-195-od-06.09.2022-3-51.pdf; https://www.moepp.gov.mk/wp-content/uploads/2018/12/SLUBEN-VESNIK-NA-RSM-br.-215-od-16.09.2021-61-100.pdf</t>
  </si>
  <si>
    <t>https://me.propisi.net/zakon-o-upravljanju-otpadom/; https://zerowastemontenegro.me/pop-prosirena-odgovornost-proizvodjaca/; https://www.gov.me/dokumenta/58511c05-017f-4be8-95dd-c622ecbbcd8b; https://www.fao.org/faolex/results/details/en/c/LEX-FAOC230606;</t>
  </si>
  <si>
    <t>https://zoek.officielebekendmakingen.nl/stb-2014-409.html; https://www.verpact.nl/sites/default/files/2022-03/Raamovereenkomst_verpakkingen_2013-2022.pdf; https://business.gov.nl/regulation/packaging/; https://www.platformketenoptimalisatie.nl/</t>
  </si>
  <si>
    <t>https://lovdata.no/dokument/SF/forskrift/2004-06-01-930/KAPITTEL_7#KAPITTEL_7; https://www.miljodirektoratet.no/ansvarsomrader/avfall/Returordninger-avfall/; https://pub.norden.org/temanord2024-506/5-implementation-of-epr-in-the-nordic-countries.html</t>
  </si>
  <si>
    <t>https://lexlege.pl/ustawa-o-gospodarce-opakowaniami-i-odpadami-opakowaniowymi/#google_vignette; https://bdo.mos.gov.pl/; https://www.gov.pl/web/rolnictwo/rozmowy-o-potrzebie-zmian-w-proponowanym-modelu-rozszerzonej-odpowiedzialnosci-producenta-rop</t>
  </si>
  <si>
    <t>https://diariodarepublica.pt/dr/en/detail/decree-law/102-d-2020-150908012; https://diariodarepublica.pt/dr/en/detail/decree-law/152-d-2017-114337042; https://www.envenance-global.com/packaging-labelling-in-portugal; https://electrao.pt/en/extended-producer-responsibility; https://www.ondereciclar.pt/tipo-residuos/embalagens</t>
  </si>
  <si>
    <t>Legea nr. 249 „Cu privire la gestionarea ambalajelor și a deșeurilor de ambalaje”. România; https://oirep.ro/articole/epr-scheme-and-its-role-in-the-implementation-of-the-green-and-circular-economy-in-romania/</t>
  </si>
  <si>
    <t>http://publication.pravo.gov.ru/Document/View/0001202308040061; https://www.alta.ru/tamdoc/24fz0296/; http://ewastemonitor.info/wp-content/uploads/2021/11/3.-Regional-Overview-of-the-Legislation-REM_2021_CISGEORGIA_p32-p35.pdf; https://www.fao.org/faolex/results/details/en/c/LEX-FAOC140443; https://www.pgplaw.com/analytics-and-brochures/alerts/opublikovan-zakon-o-reforme-rasshirennoy-otvetstvennosti-proizvoditeley-i-importerov-rop/</t>
  </si>
  <si>
    <t>https://www.ekologija.gov.rs/dokumenta/upravljanje-otpadom/zakoni; https://sekopak-com.translate.goog/dokumentacija/zakonska-regulativa; https://sekopak.com/wp-content/uploads/2024/09/PRAVILNIK-O-OBRASCIMA-IZVESTAJA-O-UPRAVLJANJU-AMBALAZOM-I-AMBALAZNIM-OTPADOM.pdf; https://sekopak.com/wp-content/uploads/2019/10/227-zakon-o-ambalazi-i-ambalaznom-otpadu.pdf; https://pravno-informacioni-sistem.rs/eli/rep/sgrs/skupstina/zakon/2009/36/15/reg</t>
  </si>
  <si>
    <t>https://www.minzp.sk/files/sekcia-enviromentalneho-hodnotenia-riadenia/odpady-a-obaly/registre-a-zoznamy/act-no-79_2015-on-waste.pdf; https://envipak.sk/en/legislative; https://greenblue.sk/en/legislation/; https://www.envicare.sk/en/sr-legislation/</t>
  </si>
  <si>
    <t>https://pisrs.si/pregledPredpisa?id=URED8057; https://www.gov.si/en/news/2021-04-08-more-efficient-implementation-of-the-packaging-waste-management-system/; https://www.gov.si/en/policies/environment-and-spatial-planning/environment/waste/</t>
  </si>
  <si>
    <t>https://www.riksdagen.se/sv/dokument-och-lagar/dokument/svensk-forfattningssamling/forordning-20221274-om-producentansvar-for_sfs-2022-1274/; https://www.naturvardsverket.se/en/topics/cirkular-ekonomi/producer-responsibility--from-resources-in-waste-to-circular-economy/; https://pub.norden.org/temanord2024-506/5-implementation-of-epr-in-the-nordic-countries.html</t>
  </si>
  <si>
    <t>End-of-Life Vehicles; newsprint; tyres; pharmaceuticals</t>
  </si>
  <si>
    <t>Tyres.</t>
  </si>
  <si>
    <t>https://ambalaj.org.tr/en/information-center-regulations-waste-management-in-turkey; https://webdosya.csb.gov.tr/db/dongusel_en/icerikler/econom-c--nstruments--n-tr-20241017142750.pdf; https://cms.law/en/int/expert-guides/plastics-and-packaging-laws/turkey</t>
  </si>
  <si>
    <t>https://kryeministri.rks-gov.net/wp-content/uploads/2023/08/02.ADMINISTRATIVE-INSTRUCTION-GRK-NO.-072023-ON-PACKAGING-AND-PACKAGING-WASTES..pdf; https://www.eea.europa.eu/en/topics/in-depth/circular-economy/country-profiles-on-circular-economy/circular-economy-country-profiles-2024/kosovo_2024-ce-country-profile_final.pdf/@@download/file</t>
  </si>
  <si>
    <t>End-of-Life Vehicles, Lubricants &amp; oils, Textiles.</t>
  </si>
  <si>
    <t>https://zakon.rada.gov.ua/laws/show/4017-20#; https://gpcgateway.com/common/news_details/MTY0OQ/MTEx/VWtyYWluZQ; https://ecopolitic.com.ua/en/news/extended-producer-responsibility-or-epr-what-it-is-and-whether-it-works-in-ukraine/; https://ecopolitic.com.ua/ua/news/u-radi-zareiestruvali-zakonoproiekt-pro-upakovku-ta-vidhodi-upakovki-shho-peredbachaie/</t>
  </si>
  <si>
    <t>https://gov.uz/en/eco/news/view/32375</t>
  </si>
  <si>
    <t>Legislation under development for WEE, btteries, tires and used oil</t>
  </si>
  <si>
    <t>Pesticides Packaging.</t>
  </si>
  <si>
    <t>(1) https://www.hcdn.gob.ar/comisiones/permanentes/cacym/proyecto.html?exp=6910-D-2016; (6) https://servicios.infoleg.gob.ar/infolegInternet/anexos/265000-269999/266332/norma.htm</t>
  </si>
  <si>
    <t>Tyres, Used oils, Lighting, Medicines.</t>
  </si>
  <si>
    <t>https://www.planalto.gov.br/ccivil_03/_Ato2019-2022/2022/Decreto/D10936.htm</t>
  </si>
  <si>
    <t>https://commonseas.com/news/new-barbados-national-action-plan</t>
  </si>
  <si>
    <t>Tyres, Used oils.</t>
  </si>
  <si>
    <t>https://www.bcn.cl/leychile/navegar?idNorma=1111512; https://www.bcn.cl/leychile/navegar?idNorma=1090894</t>
  </si>
  <si>
    <t>https://www.minambiente.gov.co/asuntos-ambientales-sectorial-y-urbana/programas-pos-consumos/; https://www.minambiente.gov.co/documento-normativa/resolucion-1407-de-2018/</t>
  </si>
  <si>
    <t>light bulbs, used tires, medications, pesticide containers</t>
  </si>
  <si>
    <t>Tyres, Oils.</t>
  </si>
  <si>
    <t>http://www.pgrweb.go.cr/TextoCompleto/NORMAS/1/VIGENTE/L/2010-2019/2015-2019/2019/1604B/90187_118676-1.html; http://www.digeca.go.cr/legislacion-vigente; https://www.complianceandrisks.com/blog/costa-rica-revised-draft-of-proposed-extended-producer-responsibility-law-approved/</t>
  </si>
  <si>
    <t>https://www.parlamentocubano.gob.cu/sites/default/files/documento/2023-10/goc-2023-o87.pdf</t>
  </si>
  <si>
    <t>http://www.q95da.com/news/dominica-solid-waste-management-corporation-dswmc-pro-rhoda-st-john-announces-plans-to-introduce-extended-producer-responsibility-epr-in-2025-so-residents-can-pay-directly-for-garbage-disposal; https://www.dswmc.dm/</t>
  </si>
  <si>
    <t>https://ambiente.gob.do/wp/wp-admin/admin-ajax.php?juwpfisadmin=false&amp;action=wpfd&amp;task=file.download&amp;wpfd_category_id=464&amp;wpfd_file_id=26248&amp;token=&amp;preview=1; https://dgii.gov.do/legislacion/leyesTributarias/Documents/Leyes%20de%20Instituciones%20y%20Fondos%20de%20Terceros/225-20.pdf; https://www.globalplasticlaws.org/law?lawId=recgAbjTgkBGFXdI7</t>
  </si>
  <si>
    <t>Foam, sleeves, plastic bottles.</t>
  </si>
  <si>
    <t>pg. 41, Chapter 11, Articles 57-65</t>
  </si>
  <si>
    <t xml:space="preserve">https://www.ambiente.gob.ec/c4-pronunciamientos-y-asistencia-tecnica-sobre-responsabilidad-extendida-al-productor-realizados/; https://www.ambiente.gob.ec/wp-content/uploads/downloads/2022/07/Acuerdo-Ministerial-Nro.-MAATE-2022-067.pdf; https://www.ambiente.gob.ec/wp-content/uploads/downloads/2018/01/CODIGO_ORGANICO_AMBIENTE.pdf; </t>
  </si>
  <si>
    <t>Plastics used in agriculture, end-of-life tires</t>
  </si>
  <si>
    <t>https://www.congreso.gob.gt/assets/uploads/info_legislativo/iniciativas/47950-5345.pdf</t>
  </si>
  <si>
    <t>https://mlgrd.gov.gy/wp-content/uploads/2016/08/National-Solid-Waste-Management-Strategy.pdf</t>
  </si>
  <si>
    <t>https://www.tsc.gob.hn/web/leyes/Reglamento%20para%20el%20manejo%20integral%20de%20los%20residuos%20s%C3%B3lidos.pdf</t>
  </si>
  <si>
    <t>https://www.nepa.gov.jm/sites/default/files/2019-11/2018august_national_hazardous_wastes_policy.pdf</t>
  </si>
  <si>
    <t>https://www.profepa.gob.mx/innovaportal/file/6633/1/nom-161-semarnat-2011.pdf; https://www.dof.gob.mx/nota_detalle.php?codigo=5286505&amp;fecha=01/02/2013#gsc.tab=0; https://www.gob.mx/cms/uploads/attachment/file/131748/23._LEY_GENERAL_PARA_LA_PREVENCI_N_Y_GESTI_N_INTEGRAL_DE_LOS_RESIDUOS.pdf; https://nicholasinstitute.duke.edu/sites/default/files/plastics-policies/5979_N_2003_General_Law_for.pdf</t>
  </si>
  <si>
    <t>https://www.gacetaoficial.gob.pa/pdfTemp/29445_E/GacetaNo_29445e_20211230.pdf</t>
  </si>
  <si>
    <t>https://cdn.www.gob.pe/uploads/document/file/419588/DS-R%C3%89GIMEN_ESPECIAL_DE_GESTI%C3%93N_Y_MANEJO_DE_RESIDUS_DE_APARATOS_EL%C3%89CTRICOS_Y_ELETR%C3%93NICOS.pdf; https://cdn.www.gob.pe/uploads/document/file/2463334/ANEXO%20DS.%20035-2021-MINAM%20-%20DISPOSICIONES%20COMPLEMENTARIAS.pdf.pdf; https://cdn.www.gob.pe/uploads/document/file/12967/RM-N_-250-2016-MINAM.pdf?v=1530656790; https://sinia.minam.gob.pe/normas/ley-gestion-integral-residuos-solidos; https://apps1.unep.org/resolutions/uploads/peru_submission_inc_plastics_eng_rev.pdf</t>
  </si>
  <si>
    <t>https://www.asamblea.gob.sv/sites/default/files/documents/correspondencia/20A287C1-664E-408D-B411-DE1D960D463B.; https://www.asamblea.gob.sv/sites/default/files/documents/correspondencia/EEAEE4A0-C052-4401-81C2-4C494C668C5A.pdf;  https://ecopational.com/todo-lo-que-necesitas-saber-sobre-la-ley-especial-de-recoleccion-aprovechamiento-y-disposicion-final-de-residuos-en-el-salvador/#:~:text=Responsabilidad%20extendida%20del%20productor%3A%20Las,riesgos%20ambientales%20y%20de%20salud.</t>
  </si>
  <si>
    <t>https://gov.sr/wp-content/uploads/2022/11/Final-Report-IWMP_141022.pdf</t>
  </si>
  <si>
    <t>https://www.mpu.gov.tt/wp-content/uploads/2024/07/National-Recycling-Policy-for-TnT-2024-Web-vr.pdf</t>
  </si>
  <si>
    <t>8 Aprl 25</t>
  </si>
  <si>
    <t>Applicable to all waste streams</t>
  </si>
  <si>
    <t>https://www.impo.com.uy/bases/decretos/260-2007</t>
  </si>
  <si>
    <t>Only 6 of Uruguay's 19 regions have adopted the EPR law. The EPR scheme is mandatory for producers in the regions where the law is adopted.; Car batteries.; Tyres.</t>
  </si>
  <si>
    <t>https://www.ghm.com.ve/wp-content/uploads/2020/12/42011.pdf</t>
  </si>
  <si>
    <t>https://bvi.gov.vg/department-resources/88; https://bvi.gov.vg/sites/default/files/resources/waste_management_pdf.pdf</t>
  </si>
  <si>
    <t>https://www.wam.ae/en/article/149bjj5-ministry-climate-change-and-environment-prepares</t>
  </si>
  <si>
    <t>(1) https://www.me.gov.dz/reglementation/%d9%86%d9%81%d8%a7%d9%8a%d8%a7%d8%aa/; https://faolex.fao.org/docs/pdf/alg44405.pdf; https://leap.unep.org/en/countries/dz/national-legislation/d-cret-ex-cutif-n-02-372-relatif-aux-d-chets-demballages</t>
  </si>
  <si>
    <t>https://www.eeaa.gov.eg/Laws/56/index; https://g20mpl.org/partners/egypt</t>
  </si>
  <si>
    <t>https://www.vertic.org/media/National%20Legislation/Iran/IR_Law_Waste_Management.pdf; https://envs.sbu.ac.ir/article_98171.html?lang=en; https://bcrciran.ir/draft-practical-manuals-on-extended-producer-responsibility/</t>
  </si>
  <si>
    <t>Draft practical manual</t>
  </si>
  <si>
    <t>https://www.gov.il/en/pages/extended_producer_responsibility?chapterIndex=4</t>
  </si>
  <si>
    <t>Scheme is in transition, moving towards a mandatory EPR. Producers shall be obligated to register with Jordan Chamber of Commerce.</t>
  </si>
  <si>
    <t>https://moenv.gov.jo/EN/List/Environmental_Policies; https://www.sustainability.gov/pdfs/ggi-jordan-waste-sector.pdf; https://conferences.ju.edu.jo/en/nexus/SiteAssets/Pages/Forms/AllItems/Extended%20Producer%20Responsibility%20(EPR).pdf; https://www.fao.org/faolex/results/details/en/c/LEX-FAOC212715/; https://www.fao.org/faolex/results/details/en/c/LEX-FAOC193637;</t>
  </si>
  <si>
    <t>https://epa.gov.kw/Portals/0/PDF/Atlas_En.pdf</t>
  </si>
  <si>
    <t>https://ewastemonitor.info/wp-content/uploads/2021/12/REM_2021_ARAB_web_final_nov_30.pdf</t>
  </si>
  <si>
    <t>https://legislation.mt/eli/sl/549.43/20210409/eng; https://era.org.mt/topic/packaging-and-packaging-waste/</t>
  </si>
  <si>
    <t>https://www.environnement.gov.ma/ar/strategies-programmes-ar/sndd-ar; https://apps1.unep.org/resolutions/uploads/submission_morocco_follow_up_of_the_oewg_inc_plastic_final.pdf</t>
  </si>
  <si>
    <t>https://www.environnement.gov.tn/ministere/cadre-juridique-et-institutionnel; http://www.anged.nat.tn/presentation.html#presentation; https://faolex.fao.org/docs/pdf/ire29095.pdf; https://toumali.org/system/files/document/session-2-01-tunisian-experience-on-epr-approach-the-ecolef-public-recovery-system-for-used-packaging.pdf</t>
  </si>
  <si>
    <t>https://www.canada.ca/en/environment-climate-change/services/managing-reducing-waste/overview-extended-producer-responsibility/inventory-recycling-programs.html#wb-auto-4</t>
  </si>
  <si>
    <t>State-level schemes in Alberta, British Columbia, Manitoba, New Brunswick, Nova Scotia, Ontario, Quebec, Saskatchewan, Yukon.</t>
  </si>
  <si>
    <t>https://productstewardship.us/epr-by-product/</t>
  </si>
  <si>
    <t>Laws passed in Maine, Oregon, Colorado, California, Maryland, Minnesota; Laws proposed in Hawaii, Illinois, Massachusetts, New Jersey, New York, North Carolina, Rhode Island, Tennessee, Washington.; carpet, textiles, mattresses, gas cylinders, medical sharps, paint, pesticides, pharmaceuticals, solar panels and tires</t>
  </si>
  <si>
    <t>https://plancomm.gov.bd/site/files/8ec347dc-4926-4802-a839-7569897e1a7a/8th-Five-Year-Plan; https://thedocs.worldbank.org/en/doc/42712a1018d536bb86c35018b9600c53-0310062021/towards-a-multisectoral-action-plan-for-sustainable-plastic-management-in-bangladesh; https://openknowledge.worldbank.org/entities/publication/3e1068c3-05e7-4f82-a223-8a3261ed803b</t>
  </si>
  <si>
    <t>Single-use plastics</t>
  </si>
  <si>
    <t>https://cpcb.nic.in/rules-4/; https://cpcb.nic.in/technical-guidelines-3/; https://cpcb.nic.in/technical-guidelines-4/; https://cpcb.nic.in/e-waste/; https://recykal.com/blog/a-guide-to-epr-compliance-in-india/</t>
  </si>
  <si>
    <t>https://www.environment.gov.mv/v2/wp-content/files/publications/20240606-pub-mnwrmps-2024-2028.pdf</t>
  </si>
  <si>
    <t>https://environment.gov.pk/SiteImage/Misc/files/Regulations/Single%20use%20Plastics%20Prohibition%202023.pdf; https://environment.gov.pk/Detail/MDUzMDI1OGItYWYzZC00NzQ0LTlhZWItZjYzY2RkOTkyZGVh</t>
  </si>
  <si>
    <t>SUP</t>
  </si>
  <si>
    <t>Plastic Packaging and bottles</t>
  </si>
  <si>
    <t>https://ccet.jp/sites/default/files/2021-08/srilanka_report_web_fin_pw.pdf; https://switch-asia.eu/project/plastics/; https://www.newsfirst.lk/2024/05/31/sri-lanka-to-enforce-extended-producer-responsibility-for-plastic-packaging; https://kjms.sljol.info/articles/24/files/submission/proof/24-1-45-1-10-20220120.pdf; https://biodiversitysrilanka.org/epr-symposium-a-path-to-circular-economy/</t>
  </si>
  <si>
    <t>https://www.statsbots.org.bw/sites/default/files/publications/National%20E-waste%20Monitor%20for%20Botswana%202024.pdf; https://www.itu.int/en/ITU-D/Environment/Pages/Priority-Areas/E-waste/Country%20Pages/Botswana.aspx</t>
  </si>
  <si>
    <t>https://arct.gov.bi/2020/04/18/etat-des-lieux-de-la-gestion-des-deee-au-burundi-exercice-2019/</t>
  </si>
  <si>
    <t>(1) https://boe.incv.cv/Bulletins/View/26889; https://faolex.fao.org/docs/pdf/cvi149027.pdf; https://leap.unep.org/en/countries/cv/national-legislation/decree-law-no-562015-establishing-general-regime-prevention</t>
  </si>
  <si>
    <t>https://www.cameroontradeportal.cm/tradeportal/templates/Tip_accueil/docs/arretes/Arrete_minepded_mincommerce.pdf; https://www.globalplasticlaws.org/law?lawId=recjXyyxW8HkQe373</t>
  </si>
  <si>
    <t>Non-biodegradable packaging materials only.</t>
  </si>
  <si>
    <t>(1) https://environnement.gouv.ci/lois/; https://environnement.gouv.ci/wp-content/uploads/2015/08/LOI-N%C2%B02023-900-DU-23-NOVEMBRE-2023-PORTANT-CODE-DE-LENVIRONNEMENT.pdf; https://faolex.fao.org/docs/pdf/ivc122634.pdf; https://disclosures.ifc.org/project-detail/AS/607103/cote-d-ivoire-circular-economy-project</t>
  </si>
  <si>
    <t>https://mesti.gov.gh/documents/revised-national-plastics-management-policy/</t>
  </si>
  <si>
    <t>https://eea.org.sz/wasteserminar2025/; http://www.times.co.sz/news/145232-govt-totally-bans-all-single-use-plastic-bags.html</t>
  </si>
  <si>
    <t>(1) https://www.epa.gov.et/images/2024/National%20Plastic%20Strategy%20and%20Action%20Plan.pdf; (2) https://www.epa.gov.et/images/licencing/Electronic%20and%20Electric%20Waste%20Regulation%20425-2018.pdf; https://www.epa.gov.et/downloads/regulations-and-directives.html; https://leap.unep.org/en/countries/et/national-legislation/electrical-and-electronic-waste-management-and-disposal-council; https://faolex.fao.org/docs/pdf/eth216623.pdf</t>
  </si>
  <si>
    <t>https://www.assemblee-nationale.ga/1-actualites-/2315-le-ministre-de-l-environnement-face-aux-honorables-deputes-de-la-transition-/</t>
  </si>
  <si>
    <t>https://commonseas.com/resources/ending-plastic-pollution-in-the-gambia</t>
  </si>
  <si>
    <t>https://www.nema.go.ke/images/Docs/Regulations%202024%20Gazetted/%20EPR%20AND%20WATER%20QUALITY%20REGULATIONS-L.N._176-177_.pdf; https://www.nema.go.ke/images/Docs/Legislation%20and%20Policies/TheSustainableWasteManagementAct_No31of2022.pdf; http://nema.go.ke/index.php?option=com_content&amp;view=article&amp;id=390&amp;Itemid=547</t>
  </si>
  <si>
    <t>https://aflitmw.com/items/73933; http://www.ead.gov.mw/</t>
  </si>
  <si>
    <t>https://environment.govmu.org/Pages/Legislations.aspx; https://mauritiusassembly.govmu.org/mauritiusassembly/wp-content/uploads/2023/04/act0323.pdf; https://supremecourt.govmu.org/view_document/10180796/3068836?file=https%3A//supremecourt.govmu.org/system/files/legislation/10180796/updated/no-1-environment-bill.pdf%23search%3D%22THE%20ENVIRONMENT%20ACT%202024%22%26phrase%3Dtrue&amp;act_group=&amp;searchType=1&amp;search=%22THE%20ENVIRONMENT%20ACT%202024%22;%20https://leap.unep.org/en/countries/mu/national-legislation/environment-act-no-3-2024; https://www.mcci.org/media/278758/draft-epr-regulations-on-eee_280920.pdf?utm_medium=email&amp;utm_campaign=Draft%20Extender%20Producer%20Responsibility%20EPR%20Regulations&amp;utm_content=Draft%20Extender%20Producer%20Responsibility%20EPR%20Regulations+CID_18b0c14fcd</t>
  </si>
  <si>
    <t>https://www.inm.gov.mz/pt-br/content/conselho-de-ministros-suplemento-n%C2%BA-1-de-291217-pag-2632-1-8-br-n%C2%BA-203-boletim-da-rep%C3%Bablica; https://www.lexology.com/library/detail.aspx?g=bc88751e-ed7d-4f3f-972c-158b0f8fbbdf</t>
  </si>
  <si>
    <t>https://mict.gov.na/documents/869282/1009163/20201111_Final+Draft+WEEE+Policy_ITU_DSI_ITU+%282%29.pdf/d9719a39-5ce7-0e39-9b9a-7e64d2dab0aa?t=1656590007312; https://mict.gov.na/documents/869282/1009163/20201111_Final+Draft+WEEE+Implementation+Action+Plan_ITU_DSI_ITU+%281%29.pdf/f8faf6c2-f755-54db-46a7-e72443317e80?t=1656589937056</t>
  </si>
  <si>
    <t>https://www.nesrea.gov.ng/extended-producer-responsibility/; https://nesrea.gov.ng/publications-downloads/laws-regulations/; https://www.nesrea.gov.ng/wp-content/uploads/2023/01/EE-sector-regulations-2022.pdf; https://drive.google.com/file/d/1FiviXUTg-eTi7PgowLu1JjOv6wSsU03H/view; https://sradev.org/2024/05/17/support-to-nigeria-on-plastic-waste-control-regulation/#:~:text=In%20December%202022%2C%20the%20Executive,trade%20unions%20and%20civil%20societies.</t>
  </si>
  <si>
    <t>https://www.rura.rw/fileadmin/Documents/ICT/Laws/Regulation__Governing_e-waste_management_in_Rwanda.pdf; https://rwandatrade.rw/objective/960?l=en; https://www.switchtogreen.eu/needs-and-gaps-in-moving-towards-extended-producer-responsibility-epr-in-rwanda/</t>
  </si>
  <si>
    <t>https://faolex.fao.org/docs/pdf/sao196846.pdf; https://leap.unep.org/en/countries/st/national-legislation/decree-law-no-642013-repealing-decree-law-no-142003-and-creating</t>
  </si>
  <si>
    <t>(1) https://www.au-senegal.com/IMG/pdf/loi-plastique-senegal-2020-04.pdf; https://elaw.org/resource/sn_plasticlaws#:~:text=Extended%20Producer%20Responsibility,waste%20generated%20by%20these%20products.</t>
  </si>
  <si>
    <t>28 Mach 25</t>
  </si>
  <si>
    <t>https://macce.gov.sc/wp-content/uploads/P181243_CESRS_Seychelles_SWM_30424_3rd-disclosure.pdf</t>
  </si>
  <si>
    <t>https://www.dffe.gov.za/registration-terms-regulations-regarding-extended-producer-responsibility-2020; https://www.dffe.gov.za/sites/default/files/legislations/nemwa_paperpackagingsingleuseplastics_g43882gon1187.pdf; https://www.dffe.gov.za/sites/default/files/legislations/nemwa_extendedproducerresponsibility_lightingsector_g43881gon1186.pdf; https://www.dffe.gov.za/registration-terms-regulations-regarding-extended-producer-responsibility-2020</t>
  </si>
  <si>
    <t>https://faolex.fao.org/docs/pdf/sud199112E.pdf; https://leap.unep.org/en/countries/sd/national-legislation/national-implementation-plan-stockholm-convention</t>
  </si>
  <si>
    <t>https://ewsdata.rightsindevelopment.org/files/documents/38/WB-P179138_bfaz84y.pdf</t>
  </si>
  <si>
    <t>https://nema.go.ug/sites/all/themes/nema/docs/National%20Environment%20(Waste%20Management)%20Regulations%20S.I.%20No.%2049%20of%202020.pdf; https://www.nema.go.ug/new_site/atlases/;</t>
  </si>
  <si>
    <t>https://zambialii.org/akn/zm/act/si/2018/65/eng@2018-08-17</t>
  </si>
  <si>
    <t>https://www.unep.org/events/workshop/advancing-circular-approaches-reduce-plastic-pollution-zimbabwe</t>
  </si>
  <si>
    <t>https://epa.gov.lr/wp-content/uploads/2024/10/National-Solid-Waste-Management-Policy_scan_.pdf</t>
  </si>
  <si>
    <t>Note: please do not modify the content or the order of the cells in column A, B, C</t>
  </si>
  <si>
    <t>What type of material(s) is the EPR scheme designed for (drop down)?</t>
  </si>
  <si>
    <t>Is EPR present? (y/n)</t>
  </si>
  <si>
    <t>(1) Packaging</t>
  </si>
  <si>
    <t>(2) WEEE</t>
  </si>
  <si>
    <t>(3) Batteries</t>
  </si>
  <si>
    <t>(4) Plastics (Non-packaging)</t>
  </si>
  <si>
    <t xml:space="preserve">(5) Fishing Gear </t>
  </si>
  <si>
    <t>(6) Other</t>
  </si>
  <si>
    <t>Private (industry led) or public (government led) scheme? (drop down)</t>
  </si>
  <si>
    <t>Is it a mandatory or voluntary scheme? (drop down)</t>
  </si>
  <si>
    <t>Operational status (i.e. is it in development, fully implemented, pilot phase)</t>
  </si>
  <si>
    <t>Accessed on</t>
  </si>
  <si>
    <t>verifier notes</t>
  </si>
  <si>
    <t>DECISION
No. 177, dated 6.3.2012
ON PACKAGING AND THEIR WASTE*
In accordance with Article 100 of the Constitution and Article 29 of Law No. 10 463, dated
22.9.2011 “On integrated waste management”, upon the proposal of the Minister of Environment,
Forests and Water Administration, the Council of Ministers</t>
  </si>
  <si>
    <t>(1) Official Journal of the Algerian Republic No. 74, November 13, 2002, p. 9. Executive Decree No. 02-372 of 6 Ramadhan 1423 corresponding to 11 November 2002 relating to packaging waste.</t>
  </si>
  <si>
    <t>(1) Parliament of Argentina. 2016. Parliamentary Procedure No. 141. MINIMUM ENVIRONMENTAL PROTECTION BUDGETS FOR THE INTEGRAL MANAGEMENT OF PACKAGING AND ITS WASTE BY RECYCLING WORKERS. REGIME; (6)Ministy of Justice. 2016. Law 27279. minimum environmental protection requirements for the management of empty pesticide containers</t>
  </si>
  <si>
    <t>Country not mentioned in source</t>
  </si>
  <si>
    <t>(1) Republic of Armenia Ministy of Environemnt. 2022. A System of Extended Producer Responsibility in Armenia Will Be Intoduced</t>
  </si>
  <si>
    <t>Department of Climate Change, Energy, the Environment and Water. 2021. Recycling and Waste Reduction (Product stewardship—televisions and computers) Rules 2021; 2020. Recycling and Waste Reduction Act 2020</t>
  </si>
  <si>
    <t>Federal Minister of Agriculture, Forestry, Environment and Water Management. 2014. Ordinance on the prevention and recycling of packaging waste and certain product residues (Packaging Ordinance 2014). Official journal: Federal Law Gazette II No. 184/2014 [CELEX No. 32013L0002 ]</t>
  </si>
  <si>
    <t>President of the Republic of Azerbaijan. 2019. Action Plan for 2019-2020 on reducing the negative impact of plastic packaging waste on the environment of the Republic of Azerbaijan</t>
  </si>
  <si>
    <t>Bandladesh Eonomic Planning Comission. 2020. 8th Five Year Plan: July 2020 - June 2025</t>
  </si>
  <si>
    <t>Ministry of Environment, National Beutification, Green and Blue Economy; Common Seas. 2024. National Action Plan to End Plastic Pollution</t>
  </si>
  <si>
    <t xml:space="preserve">President of the Republic of Belarus. 2014. decree No. 381 “Concerning additions and amendments to decrees of the President of the Republic of Belarus on measures to improve the system of consumer wastes processing" </t>
  </si>
  <si>
    <t>Interregional Packaging Commission. Belgium. 1997.  Cooperation Agreement on the prevention and management of packaging waste. (Belgian Official Gazette 29.12.2008)</t>
  </si>
  <si>
    <t>Federal Ministry of Environment and Tourism. 2011. Ordinance of Packaging and Packaging Waste Management (Official Gazette of FB&amp;H, no. 88/11, 28 December 2011)</t>
  </si>
  <si>
    <t>Ministry of Environment, Natural Resource Conservation and Tourism's Department of Waste Management and Pollution Control. 2025. National Strategy on the Management of Waste Electrical and Electronic Equipment in Botswana</t>
  </si>
  <si>
    <t>Presidency of the Republic, General Secretariat, Deputy Director for Legal Affairs. 2022. Decree No. 10,936 of January 12, 2022. Regulates Law No. 12,305 of Augut 2, 2010, which establishes the National Slid Waste Policy.</t>
  </si>
  <si>
    <t xml:space="preserve">Ministry of Health &amp; Social Development. 2019. Ref. 32-BV-2018 Waste Management Strategy for the British Virgin Islands
</t>
  </si>
  <si>
    <t>Ministry of Envirnment and Water. 2012. Regulation on packaging and packaging waste  (promulgated in the State Gazette, issue 85 of November 6, 2012, amended and supplemented in the State Gazette, issue 76 of August 30, 2013, amended in the State Gazette, issue 30 of April 15, 2016, amended and supplemented in the State Gazette, issue 60 of July 20, 2018). 2012. WASTE MANAGEMENT ACT. (Promulgated, State Gazette, issue 53 of 13.07.2012)</t>
  </si>
  <si>
    <t>Telecommunications Regulation and Control Agency. 2020. State of WEEE Management in Burundi, 2019 Financial Year</t>
  </si>
  <si>
    <t>(1) Cabo Verde Council of Ministers. 2015. Decree-Law No. 56/2015. Estabelece o regime geral aplicável à prevenção, produção e gestão de resíduos e aprova o regime jurídico do licenciamento e concessão das operações de gestão de resíduos. Boletim Oficial n.º 62, I Série de 17-10-2015</t>
  </si>
  <si>
    <t xml:space="preserve">Kingdom of Cambodia. 2021. Circular Economy Strategy and Action Plan. Department of Green Economy of Secretariat General for Sustainable Development of National Council for Sustainable Development of the Ministry of the Environment. </t>
  </si>
  <si>
    <t>pg. 38 'PA1.5 Develop Extended Producer Responsibility schemes and plastic production standards</t>
  </si>
  <si>
    <t xml:space="preserve">The Minister of the Environment, Nature Conservation, and Sustainable Development; The Minister of Commerce, 2012. Joint Order No. 004/ Minepded/Mincommerce of October 24, 2012, regulating the manufacture, import, and marketing of non-biodegradable packaging.
</t>
  </si>
  <si>
    <t>Ministry of Environment and Climate Change. 2025. Inventoy of Recycing Programs in Canada (last updated 03.07.2025)</t>
  </si>
  <si>
    <t>Ministry of the Environment. 2017. Decree 8 - Regulations that governmen the procedure for preparing supreme decrees established in Law No. 20,920 (Law 2020 - ESTABLISHES FRAMEWORK FOR WASTE MANAGEMENT, EXTENDED PRODUCER RESPONSIBILITY, AND RECYCLING PROMOTION (1 June 2016))</t>
  </si>
  <si>
    <t xml:space="preserve">Standing Committee of the National People's Congress. 2008. Circular Economy Promotion Law. Order No. 4 of the President of the People's Republic of China; State Council of China. 2017. Impelmentation Plan of Extended Producer Resposnibility System. State Council Gazette, 2017 No. 3 </t>
  </si>
  <si>
    <t>Ministry of Environemnt and Sustainable Development. 2018. Resolution 1407 "Which regulates the environmental management of packaging waste made of paper, cardboard, plastic, glass, and metal, and makes other provisions."</t>
  </si>
  <si>
    <t>Cook Islands</t>
  </si>
  <si>
    <t>https://pacwasteplus.org/news/extended-producer-responsibility-one-step-closer-in-solomon-islands/</t>
  </si>
  <si>
    <t xml:space="preserve">Legislative Assembly of the Republic of Costa Rica. Law No. 9786-2019. Law to combat plastic pollution and protect the environment; Law No.8839-2010. Comprehensive Waste Management Law;  </t>
  </si>
  <si>
    <t>(1) Ministry of Environmental, Sustainable Development and Ecological Transition. LAW N° 2023-900 OF NOVEMBER 23, 2023 CONCERNING THE ENVIRONMENTAL CODE.</t>
  </si>
  <si>
    <t xml:space="preserve">Miistry of Environmental and Nature Protection. 2015. Ordinance on packaging and packaging waste (Official Gazette 88/2015, 78/16, 116/17,14/20, 144/20) </t>
  </si>
  <si>
    <t>Parliament of Cuba. 2023. REGULATION FOR WORK IN SUSTAINABLE CONSUMPTION AND PRODUCTION, CIRCULAR ECONOMY, AND THE GRADUAL REDUCTION OF DISPOSABLE OR SINGLE-USE PLASTICS</t>
  </si>
  <si>
    <t>Packaging and Packaging Waste (Responsibility of Financial Operators) Regulations (R.A.A.747/2003).; Packaging and Packaging Waste Law (L.32(I)/2002, 133(I)/2003) 159(I)/2005, 48(I)/2006, 58(I)/2012, 59(I)/2012 and 125(I)/2012),</t>
  </si>
  <si>
    <t>Ministry of Environment. 2001. Packaging Act No. 477/2001 Coll.</t>
  </si>
  <si>
    <t>Executive Order on Packaging (Danish: BEK nr 1706 af 30/12/2024, see §79).</t>
  </si>
  <si>
    <t>Dominica Solid Waste Management Corporation. 2025. PRO Rhoda St John announces plans to introduce Extended Producer Responsibility (EPR) in 2025, so residents can pay directly for garbage disposal</t>
  </si>
  <si>
    <t>National Congress of Dominica Republic. 2020. General Law on Comprehensive Management and Co-processing of Solid Waste, No. 225-20. Official Gazette No. 10990 of October 2, 2020.</t>
  </si>
  <si>
    <t>Ministry of Environment, Waster nd Ecological Transition. 2022. Ministerial Agreement No. MAATE-2022-067 - Instructions for the Application of Extended Producer Responsibility in the Integral Management of Domestic Electrical and Electornic Equipment (WEEE)</t>
  </si>
  <si>
    <t>Source does not mention Ecuador</t>
  </si>
  <si>
    <t>Prime Ministerial Decree No. 662 of 2025 regarding plastic shopping bags; Offie of the Prime Minister. 2022. Executive Regulations of the Waste Management Law issued by Law No. 202 of 2020; Towards Osaka Blue Ocean Vision. G20 Implementation Framework for Actions on Marine Litter. "Egypt". Last Update 7 April 2024.</t>
  </si>
  <si>
    <t>SUP carrier bags</t>
  </si>
  <si>
    <t xml:space="preserve">Legislative Assembly. 2024. Decree No. 186. Special Law on the Collection, Use, and Final Disposal of Waste. </t>
  </si>
  <si>
    <t>Government of the Republic of Estonia. 2020. Waste Act and Packaging Act Amendment Act 190 SE</t>
  </si>
  <si>
    <t xml:space="preserve">Eswatini Environment Authority. 2024. The Eswatini Waste Management and Circular Economy Seminar 2025 </t>
  </si>
  <si>
    <t>(1) FDRE Environmental Protection Authority. 2024. National Plastic Waste Management Strategy and Roadmap (2024 - 2034); (2) Council of Ministers of Ethiopia. 2018. Regulation No. 2425/2018. Electrical and Electronic Waste Management ad Disosal. Federal Negarit Gazette. 24th Year. No. 43. pg. 10366</t>
  </si>
  <si>
    <t>Ministy of Waterways and Environment. 2007. ENVIRONMENT MANAGEMENT (WASTE DISPOSAL AND RECYCLING) REGULATIONS 2007</t>
  </si>
  <si>
    <t>Ministry of the Environment. 2021. Government Decree on Packaging and Packaging Waste. 1029/2021. Of the Waste Act (646/2011)</t>
  </si>
  <si>
    <t>Environmental Code: Title IV: Waste (Article L541-10)</t>
  </si>
  <si>
    <t>Assembly of French Polynesia. 2013. National Bill on Extended Producer Responsibility. NOR: ENV1300170LP</t>
  </si>
  <si>
    <t xml:space="preserve">Parliament of Gabon. 2024. Bill No. 0012/PR/2024. fight against pollution by single-use plastics </t>
  </si>
  <si>
    <t>National Environment Agency. 2024. National Action Plan to End Plastic Pollution in The Gambia</t>
  </si>
  <si>
    <t>Ministry of Environmental Protecion and Agriculture of Gergia. 2020. Management of Waste Batteries and Accumulators, Management of Waste Tires,  Management of Waste Electrical and Electronic Equipment,  Management of Waste Oils) to introduce the Extended Producer Responsibility (EPR)</t>
  </si>
  <si>
    <t>Federal Council of Germany 2017. Packaging Act. Federal Law Gazette. No. 45 of 12.07.2017</t>
  </si>
  <si>
    <t>Ministry of Enviornment, Scinece, Technology and Innovation. 2021. Revised National Plastics Management Policy</t>
  </si>
  <si>
    <t>LEGAL NOTICE NO. 226 OF 2020. PUBLIC HEALTH ACT (AMENDMENT) REGULATIONS 2020. SECOND SUPPLEMENT TO THE GIBRALTAR GAZETTE No. 4727 GIBRALTAR Thursday 18th June 2020</t>
  </si>
  <si>
    <t>President of the Republic of Greece. 2017. Law 4496/2017 (Government Gazette 170/A/08-11-2017) Amendment of Law 2939/2001 on the alternative management of packaging and other products</t>
  </si>
  <si>
    <t>Guam Environmental Protection Agency. 2023. Integrated Solid Waste Management Policy</t>
  </si>
  <si>
    <t>(1) https://epa.guam.gov/wp-content/uploads/2023/09/Intergrated-Solid-Waste-Management-Program_Jan2023.pdf; (2) https://epa.guam.gov/wp-content/uploads/2023/09/GUAM_ZWMP2023.pdf</t>
  </si>
  <si>
    <t>Congress of the Republic of Gualemala. 2017. Frameworl Law for the Integral Management of Waste and Scrap</t>
  </si>
  <si>
    <t>Ministry of Local Government and Regional Development. 2016. PUTTING WASTE IN ITS PLACE: A National Solid Waste Management Strategy for the Cooperative Republic of Guyana 2013-2024</t>
  </si>
  <si>
    <t>Secretariat of Natural Resources and the Environment. 2011. Regulations for the Comprehensive Manageemnt of Solid Waste</t>
  </si>
  <si>
    <t>Environmental Protection Department. 2025. Producer Responsibility Schemes</t>
  </si>
  <si>
    <t>Government Decree No. 442/2012. (XII. 29.) on packaging and waste management activities related to packaging waste</t>
  </si>
  <si>
    <t>Government of Iceland. 2005. 1124/2005 Regulations on Processing Fees. Section B of the Official Gazette according to Article 3 of the Act on the Official Gazette and the Official Gazette, No. 15/2005, cf. Regulation on the Publication of the Official Gazette No. 958/2005.</t>
  </si>
  <si>
    <t>Ministry of Environment, Forest and Climate Change. 2016. Plastic Waste Management Rules; 2022. E-Waste Management Rules; 2022. Battery Waste Management Rules; 2016. Hazardous Waste Management Rules</t>
  </si>
  <si>
    <t xml:space="preserve">used oil, </t>
  </si>
  <si>
    <t>Minister of Environment and Forestry. Regulation No. P.75/MENLHK/SETJEN/KUM.1/10/2019 Year 2019. ROADMAP-WASTE-REDUCTION-PRODUCERS</t>
  </si>
  <si>
    <t>Iran waste management act – executive bylaw – 12th article (2005);  Basel and Stockholm Conventions Regional Centre in Iran, 'Draft practical manuals on Extended Producer Responsibility', n.d.</t>
  </si>
  <si>
    <t xml:space="preserve">Ministry of Environmenr, Climate and Communications. 2022. S.I. No. 659/2022 - European Union (Packaging) (Amendment) Regulations 2022; </t>
  </si>
  <si>
    <t>Ministry of Environmental Prtection. 2024. Bottles, Tires, Packaging, Appliances, Plastic Bags: Extended Producer Responsibility</t>
  </si>
  <si>
    <t>Packaging and packaging waste: articles 218, 221, 221-bis and 223 of Legislative Decree 152/2006</t>
  </si>
  <si>
    <t>Government of Jamaica. 2017. National Policy for the Environmentally Sound Management of Hazardous Wastes</t>
  </si>
  <si>
    <r>
      <t>1997. Law for the Promotion of Sorted Collection and Recycling of Containers and Packaging (Container and Packaging Recycling Law); Mitsutsune Yamaguchi. 2002. 'Extended Producer Responsibility in Japan'.</t>
    </r>
    <r>
      <rPr>
        <i/>
        <sz val="11"/>
        <color theme="1"/>
        <rFont val="Aptos Narrow"/>
        <family val="2"/>
        <scheme val="minor"/>
      </rPr>
      <t xml:space="preserve"> ECP Newsletter </t>
    </r>
    <r>
      <rPr>
        <sz val="11"/>
        <color theme="1"/>
        <rFont val="Aptos Narrow"/>
        <family val="2"/>
        <scheme val="minor"/>
      </rPr>
      <t>No. 19.</t>
    </r>
  </si>
  <si>
    <t xml:space="preserve">(1) Jordanian Ministry of Environment. 2013. Instructions to implement the national framework for extended producer responsibility (EPR) for the handling of waste packaging for the year 2023; (2) Jordanian Ministry of Environment. 2022. The Non-Hazardous Solid Waste Management System Law No. 44 of 2022  </t>
  </si>
  <si>
    <t>Law: Decree No. 377 of 20 June 2020, on Amending Decree No. 28 of 27 January 2016 on the Implementation of the Extended Producer (Importer) Responsibility Rules; Global Norm Compliance, 'Kazakhstan: EPR Requirements Revised', 29 October 2020.</t>
  </si>
  <si>
    <t>https://adilet.zan.kz/eng/docs/P2100000763; https://www.pravsky.com/kazakhstan-revised-rules-extended-producer-responsibility-epr; https://www.gov.kz/memleket/entities/ecogeo/press/news/details/314583?lang=en; https://compliance.globalnorm.de/en/product-compliance-news/detail/kazakhstan-epr-requirements-revised/</t>
  </si>
  <si>
    <t>Ministry of Environemnt, Climate Change and Foresty. 2024. THE SUSTAINABLE WASTE MANAGEMENT (EXTENDED PRODUCER RESPONSIBILITY) REGULATIONS, 2024. LEGAL NOTICE NO. 176 THE SUSTAINABLE WASTE MANAGEMENT ACT (Cap. 387C). Kenya Gazette Supplement No. 196, 4th November 2024. Special issue 3051</t>
  </si>
  <si>
    <t>vehicles, tires, textiles, durable products, personal hygiene products, artificial hair</t>
  </si>
  <si>
    <r>
      <t xml:space="preserve">Ministry of Environment. 2025. Enforcement Decree of the Act on Promotion of Saving and Recycling of Resources. </t>
    </r>
    <r>
      <rPr>
        <b/>
        <sz val="11"/>
        <color theme="1"/>
        <rFont val="Aptos Narrow"/>
        <family val="2"/>
        <scheme val="minor"/>
      </rPr>
      <t>Ministry of Environment Ordinance No. 1167, April 1, 2025</t>
    </r>
  </si>
  <si>
    <t>Prime Ministers Office. 2023. Administrative Instruction (QRK) No. 07/2023 on Packaging and Packaging Wastes</t>
  </si>
  <si>
    <t>Kuwait Environment Public Authority. 2022. WASTE MANAGEMENT ATLAS OF KUWAIT</t>
  </si>
  <si>
    <t>Cabinet of Ministers of Kyrgyzstan. 2023. law On Production and Consumption Waste dated August 15, 2023</t>
  </si>
  <si>
    <t xml:space="preserve">Ministry of Natural Resource and Environment. 2024. National Plastic Action Plan of the Lao PDR 2024-2030 (NPAP) </t>
  </si>
  <si>
    <t xml:space="preserve">President of Latvia.2001. Packaging Law. Latvijas Vēstnesis, 4, 09.01.2002.; Latvijas Republikas Saeimas un Ministru Kabineta Ziņotājs, 3, 14.02.2002.
</t>
  </si>
  <si>
    <t>MoE/UNDP (2024). Provision of services for the assessment of e-waste and batteries in Lebanon</t>
  </si>
  <si>
    <t>Department of Environment. 2025. On e-waste Management</t>
  </si>
  <si>
    <t>https://www.undp.org/sites/g/files/zskgke326/files/2024-07/tadwir_e-waste_report_10.07.2024_1.pdf</t>
  </si>
  <si>
    <t>Enviornmental Protection Agency of Liberia. 2024. National Solid Waste Management Policy</t>
  </si>
  <si>
    <t>LAW OF THE REPUBLIC OF LITHUANIA ON PACKAGING AND PACKAGING WASTE MANAGEMENT. 25 September 2001 No. IX-517</t>
  </si>
  <si>
    <t>Council of the State. Law of June 9, 2022 amending the law of March 21, 2017 relating to packaging and packaging waste.</t>
  </si>
  <si>
    <t>MINISTRY OF NATURAL RESOURCES AND CLIMATE CHANGE, Environmental Affairs Department. 2024. National E-waste Management Policy</t>
  </si>
  <si>
    <t>Ministry of Environment and Waste. 2021. Malaysian Plastics Sustainability Roadmap 2021-2030</t>
  </si>
  <si>
    <t>Ministry of Climate Change, Environment and Energy. 2024. Waste and Resource Management Policy &amp; Strategy</t>
  </si>
  <si>
    <t>Malta. 2007. SUBSIDIARY LEGISLATION 549.43WASTE MANAGEMENT (PACKAGING ANDPACKAGING WASTE) REGULATIONS. LEGAL NOTICE 277 of 2006, as amended by Legal Notices 426 of 2007,442  of  2012,  358  of  2013,  444  of  2014,  226  of  2017  227  of  2017,  310  of2020 and 152 of 2021</t>
  </si>
  <si>
    <t xml:space="preserve">Parliament of Mauritius. 2023. THE WASTE MANAGEMENT AND RESOURCE RECOVERY ACT 2023; THE ENVIRONMENT BILL(No. I of 2024) </t>
  </si>
  <si>
    <t>All wastes covered. Specific items to e specified in subsequent regulations,</t>
  </si>
  <si>
    <t>Secretary of the Environment and Natural Resources. 2013, Official Mexican Standard NOM-161-SEMARNAT-2011, which establishes the criteria for classifying Special Management Waste and determining which are subject to a Management Plan; the list thereof, the procedure for inclusion or exclusion from said list; as well as the elements and procedures for formulating management plans.</t>
  </si>
  <si>
    <t>Source does not provide any details of waste types</t>
  </si>
  <si>
    <t xml:space="preserve">Republic of Moldova. 2020. Decision No. 561 for the Approval of the Regulation on Packaging and Packaging Waste.; Decision No. 212 of 2018 for the aproval of the Regulation on waste electrical and electronic equipment; DECISION No. 586 of 2020 for the approval of the Regulation on the management of batteries and accumulators and waste batteries and accumulators </t>
  </si>
  <si>
    <t>Journal of Monaco. 2021. Ordonnance Souveraine n° 8.633 du 29 avril 2021 portant modification et codification de la règlementation relative aux déchets.</t>
  </si>
  <si>
    <t>Mongolian Parliament. 2017. Waste Law.</t>
  </si>
  <si>
    <t>President of Montenegro. 2024. Waste Management Law. Official Gazette of Montenegro no. 34/2024 of 12.4.2024</t>
  </si>
  <si>
    <t xml:space="preserve">Vehicles, tires, </t>
  </si>
  <si>
    <t>(1) Ministry delegated to the Minister of Energy and Mines, of Water and the Environment, responsible for the Environment. 2014. FRAMEWORK LAW NO. 99-12 RELATING TO THE CHARTER National Environmental AND SUSTAINABLE DEVELOPMENT.</t>
  </si>
  <si>
    <t>Council of Ministers. 2017. Decree 79/2017.  approving the Regulation on the Extended Responsibility of Producers and Importers of Packaging.</t>
  </si>
  <si>
    <t xml:space="preserve">Environmental Conservation Department (ECD), Ministry of the Natural Resources and Environmental Conservation. 2018. National Waste Management Strategy and Master Plan for Myanmar </t>
  </si>
  <si>
    <t>Ministry of Information and Communication Technology. 2020. National Policy on Waste Managemnt of Waste Electrical and Electronic Equipment. Cabinet Decision No.: 6th/16.04.19/004</t>
  </si>
  <si>
    <t>Ministry of Infrastructure and Environment. 2014. Decree of 27 October 2014, containing rules for packaging and packaging waste (Packaging Management Decree 2014). Official Gazette 2014, 409</t>
  </si>
  <si>
    <t>Federal Republic of Nigeria. 2023. (draft) National Environmental (Plastic Waste Control) Regulations; 2022. National Environmental (Electrical and Electronic Sector) Regulations. Official Gazette No. 160 vol. 109; 2024. National Environmental (Battery Control) Regulations. Offical Gazette No. 52 vol. 111</t>
  </si>
  <si>
    <t>Niue</t>
  </si>
  <si>
    <t>Ministry of Environment and Physical Planning. Regulations. Waste Management. Laws and Bylaws. Packaging and Packahging Waste; Managementt of electrical and electronic equipment and waste electrical and electronic equipment; batteries and accumulators; additional waste streams</t>
  </si>
  <si>
    <t> waste textiles, tires, oils and vehicles,</t>
  </si>
  <si>
    <t>Chapter 7. Packaging and Packaging Waste 2022. No. 988. of Regulations on the Recycling and Treatment of Waste.  1981</t>
  </si>
  <si>
    <t>Ministry of Climate Change and Environmental Coordination. 2023. Single Use Plastics (Prohibition) Regulations. S. R. O. 935(I)/2023</t>
  </si>
  <si>
    <t>Republic of Panama. 2021. Law No. 276 - Regulating the comprehensive management of solid waste in the Republic of Panama, December 30, 2021.. Official Gazette N. 29445-E (30 December 2021)</t>
  </si>
  <si>
    <t>Source does not mention Panama</t>
  </si>
  <si>
    <t>Ministry of Environment. 2019. SPECIAL REGIME FOR THE MANAGEMENT AND DISPOSAL OF WASTE ELECTRICAL AND ELECTRONIC EQUIPMENT. Decree 9/2019</t>
  </si>
  <si>
    <t>Department of Environment and Natural Resources. 2023. Implementing Rules and Regulations of the EPR Act of 2022.</t>
  </si>
  <si>
    <t>2013. Act on the management of packaging and packaging waste.  Journal of Laws of 2013, item 888</t>
  </si>
  <si>
    <t>Presidency of the Council of Ministers. 2020. DECREE LAW No. 102-D/2020  approves the general waste management regime, the legal regime for the disposal of waste in landfills and amends the regime for the management of specific waste streams, transposing Directives (EU) 2018/849, 2018/850, 2018/851 and 2018/852. and DECREE LAW No. 152-D/2017. defines new rules for the management of some wastes</t>
  </si>
  <si>
    <t>Parliament of Romania. 2015. Law No. 249 “On the management of packaging and packaging waste.</t>
  </si>
  <si>
    <t>Federal Law of 04.08.2023 No. 451-FZ "On Amendments to the Federal Law "On Production and Consumption Waste" and Certain Legislative Acts of the Russian Federation". Publication number: 0001202308040061. Date of publication: 04.08.2023</t>
  </si>
  <si>
    <t>REGULATION N°002 OF 26/4/2018 GOVERNING E-WASTE MANAGEMENT IN RWANDA</t>
  </si>
  <si>
    <t>The President of the Republic of Sao Tome and Principe. 2013. Decree-Law No. 64/2013. Repealing Decree-Law No. 14/2003, of December 31, 5th Supplement, which Institutes the Environmental Impact Fee (TIA). 24th supplement No. 163.</t>
  </si>
  <si>
    <r>
      <t>Mitch Webster, 'Extended Producer Responsibility Laws for Packaging Around the World',</t>
    </r>
    <r>
      <rPr>
        <i/>
        <sz val="11"/>
        <color theme="1"/>
        <rFont val="Aptos Narrow"/>
        <family val="2"/>
        <scheme val="minor"/>
      </rPr>
      <t xml:space="preserve"> Packaging School</t>
    </r>
    <r>
      <rPr>
        <sz val="11"/>
        <color theme="1"/>
        <rFont val="Aptos Narrow"/>
        <family val="2"/>
        <scheme val="minor"/>
      </rPr>
      <t>, 23 February 2024.</t>
    </r>
  </si>
  <si>
    <t>(1) Ministry of Environment and Sustainable Development. 2020. Loi relative à la prévention et la réduction de l’incidence sur l’environnement des produits plastiques, la loi n° 2020-04 du 08 Janvier 2020.</t>
  </si>
  <si>
    <t>Ministry of Environmental Protection. 2024. Regulation on packaging and waste management.</t>
  </si>
  <si>
    <t xml:space="preserve">MINISTRY OF FINANCE, NATIONAL PLANNING AND TRADE. 2024. SEYCHELLES SOLID WASTE MANAGEMENT PROJECT. Stakeholder Engagement Plan </t>
  </si>
  <si>
    <t>National Council of the Slovak Republi. 2015. Act 79 on waste and on amendments to certain acts</t>
  </si>
  <si>
    <t>Slovenian Government. 2021. Decree on Packaging and Packaging Waste Handling, which is an implementing regulation based on the amendment to the Environmental Protection Act.</t>
  </si>
  <si>
    <t>Solomon Island Government. 2024. Solomon Islands Supported Provision for “Product Design, Composition and Performance” and “Extended Producer Responsibility” in international legally binding instrument on plastic pollution.</t>
  </si>
  <si>
    <t>Deparment of Forestry, Fisheries and the Environemnt. 2020. Regulations regarding extended producer resposnibility. Government Gazette vol. 665 no. 43879</t>
  </si>
  <si>
    <t>Lighting</t>
  </si>
  <si>
    <t>Royal Decree 1055/2022 on packaging and packaging waste</t>
  </si>
  <si>
    <t>Ministry of Environment. 2021. National Action Plan on Plastic Waste Management</t>
  </si>
  <si>
    <t>The Republic of Sudan. 2014. National Implementation Plan for the Stockholme Convention</t>
  </si>
  <si>
    <t>End-of-life vehicles, tires, oils</t>
  </si>
  <si>
    <t>Ministry of Spatial Planning and Environment. 2022. Integrated Waste Management Plan (IWMP) for Suriname</t>
  </si>
  <si>
    <t>Ministry of Climate and Emterprise. 2022. Regulation (2022:1274) on producer responsibility for packaging. SFS no . : 2022:1274</t>
  </si>
  <si>
    <t>The Swiss Federal Council,. 2021. Ordinance on the Return, Take-Back, and Disposal of Electrical and Electronic Equipment (ORDEE). Ref. 814.621. based on Articles 30b, paragraphs 1 and 2, letter a of the Environmental Protection Act of October 7, 19831,</t>
  </si>
  <si>
    <t>Ministry of Environment. 2025. Ammendment to Article 16 of the Waste Disposal Act (1988)</t>
  </si>
  <si>
    <t xml:space="preserve">(2) Government of Tanzania. 2021. THE ENVIRONMENTAL MANAGEMENT (CONTROL AND MANAGEMENT OF ELECTRICAL AND ELECTRONIC EQUIPMENT WASTE) REGULATIONS, 2021. GOVERNMENT NOTICE No. 388 Published On 14/5/2021 </t>
  </si>
  <si>
    <t>(2) https://www.nemc.or.tz/uploads/publications/en-1645446706-e_WASTES%20REGULATIONS_2021.pdf; https://www.nemc.or.tz/publications/17; https://faolex.fao.org/docs/pdf/tan215574.pdf; https://www.researchgate.net/publication/362529572_Solid_waste_management_related_legislation_Analysis_of_its_adequacy_for_implementation_of_extended_producer_responsibility_schemes_in_Tanzania</t>
  </si>
  <si>
    <t>Pollution Control Department. 2024. Draft Sustainable Packaging Act</t>
  </si>
  <si>
    <t>Democratic Republic of Timor-Leste. 2020. DECREE-LAW Nº 37/2020 of September 23 ALIENATION, IMPORTATION AND PRODUCTION OF BAGS, PACKAGING AND OTHER PLASTIC OBJECTS. Official Jornal of the Republic. Series I, N.◦39. Wednesday, 23 September 2020</t>
  </si>
  <si>
    <t>World Bank. 2024. Togo Digital Acceleration Project. Appraisal Environemntal and Social Review Summary.</t>
  </si>
  <si>
    <t>Department of Environment, of the Ministry of Meteorology, Energy, Inforation, Disaster Management, Environment, Climate Changeand Communications. 2024. Tonga Single-use Plastic Roadmap</t>
  </si>
  <si>
    <t>Government of the Republic of Trinidad and Tobago, Ministry of Public Utilities. 2024. National Recycling Policy.</t>
  </si>
  <si>
    <t xml:space="preserve">Decree No. 97-1102 of 2 June 1997 laying down the conditions and procedures for the return and management of used packaging; Law No. 96-1996 of 10 June 1996 on waste and the control of its management and disposal, </t>
  </si>
  <si>
    <t>Ministry of Environment and Urbanization: 2011. REGULATION ON CONTROL OF PACKAGING WASTES. Official Gazette Issue: 28035; Environmental Act No. 2872</t>
  </si>
  <si>
    <t>WASTE MANAGEMENT (LEVY DEPOSIT) REGULATION 2019; WASTE MANAGEMENT ACT (revised) 2022</t>
  </si>
  <si>
    <t>Ministry of Water and Environment. 2020. THE NATIONAL ENVIRONMENT (WASTE MANAGEMENT) REGULATIONS, 2020. Statutory Instruments Supplement 2020 No. 49</t>
  </si>
  <si>
    <t>Parliament of Ukraine. 2022. Law No. 2320-IX In Waste Management.</t>
  </si>
  <si>
    <t>Federal Cabinet Resolution No. (39) of 2021, Concerning the Executive Regulation of Federal Law No. (12) of 2018 on Integrated Waste Management; Emirates News Agency, 'Ministry of Climate Change and Environment prepares to launch framework for Extended Producer Responsibility', 8 December 2024.</t>
  </si>
  <si>
    <t>UK Statutory Insruments. 2024. No. 1332. The Producer Responsibility Obligations (Packaging and Packaging Waste) Regulations 2024; Valpack. 2024. 'Extended Prouducer Responsibility for WEEE - Waste Electrical and Electronic Equipment'.; Valpack. 2024. 'Extended Prouducer Responsibility for Batteries'.</t>
  </si>
  <si>
    <t>Product Stewardship Institute. 2025. EPR by Product.</t>
  </si>
  <si>
    <t>Ofice of Official Information. 2004. REGULATION OF LAW 17,849 ON PACKAGING RECYCLING</t>
  </si>
  <si>
    <t>Ministry of Ecology, Environmental Protetion and Climate Change of the Republic of Uzbekistan. 2025. A new propsal on plastic waaste has been introduced.</t>
  </si>
  <si>
    <t>Department of Environmental Protetion and Conservation. 2016. National Waste Management, Pollution Control Strategy and Implementation Plan 2016-2020</t>
  </si>
  <si>
    <t>BOLIVARIAN REPUBLIC OF VENEZUELA MINISTRY OF PEOPLE'S POWER FOR ECOSOCIALISM OFFICE OF THE MINISTER. 2020. RULES ON THE EXTENDED LIABILITY OF PRODUCERS OF SINGLE-USE PAPER, CARDBOARD, PLASTIC, GLASS, AND TIRES.</t>
  </si>
  <si>
    <t>National Assembly. 2022. Decree No. 08/2022/ND-CP on elaboration of several Articles of the Law on Environmental Protection.</t>
  </si>
  <si>
    <t>Stautory Instrument 65 of 2018. Environmental Management (Extended Producer Responsibility) Regulations</t>
  </si>
  <si>
    <t>UNEP. 2020. Advancing Circular Approaches to Reduce Plastic Pollution in Zimbabwe.</t>
  </si>
  <si>
    <t>Plastic cans, tetra pak and glass</t>
  </si>
  <si>
    <t>Plastic and cans</t>
  </si>
  <si>
    <t>Plastic, cans and glass</t>
  </si>
  <si>
    <t>Plastic bottles only</t>
  </si>
  <si>
    <t>Plastic and tetra pak</t>
  </si>
  <si>
    <t>Region</t>
  </si>
  <si>
    <t>Do we need separate sheet for EPR and DRS? Yes, caroline created a separate tab for DRS</t>
  </si>
  <si>
    <t>Do we need date of measurement? No. the publicaiton date of the source is the closest we can get to that info.</t>
  </si>
  <si>
    <t>LAC</t>
  </si>
  <si>
    <t>Do we need source identifier column? No. The sources for this task should be limited and clear from source column and file title which doc corresponds to which source reference</t>
  </si>
  <si>
    <t>Yes no</t>
  </si>
  <si>
    <t>Private or public scheme</t>
  </si>
  <si>
    <t>Mandatory or voluntary</t>
  </si>
  <si>
    <t>Operational</t>
  </si>
  <si>
    <t>DRS geography</t>
  </si>
  <si>
    <t>City</t>
  </si>
  <si>
    <t>Type of EPR</t>
  </si>
  <si>
    <t>Packaging</t>
  </si>
  <si>
    <t>tyres</t>
  </si>
  <si>
    <t>Plastics (including non-packaging)</t>
  </si>
  <si>
    <t>oils</t>
  </si>
  <si>
    <t>Fishing Gear</t>
  </si>
  <si>
    <t>furniture</t>
  </si>
  <si>
    <t>WEEE</t>
  </si>
  <si>
    <t>mattresses</t>
  </si>
  <si>
    <t>Batteries</t>
  </si>
  <si>
    <t>DRS types of containers</t>
  </si>
  <si>
    <t>Plastic and glass</t>
  </si>
  <si>
    <t>Plastic, cans and tetra pak</t>
  </si>
  <si>
    <t>Plastic tetra pak and glass</t>
  </si>
  <si>
    <t>ADD IN VOLUNTARY/MANDATORY FOR DRS</t>
  </si>
  <si>
    <t>ADD IN COMMENTS COLUMN</t>
  </si>
  <si>
    <t>ADD IN SOURCE COLUMN - 1 for EPR sources and 1 for DRS sources web link</t>
  </si>
  <si>
    <t>Czech Republic</t>
  </si>
  <si>
    <t>Somalia, Fed. Rep.</t>
  </si>
  <si>
    <t>Viet Nam</t>
  </si>
  <si>
    <t>Legally-binding regulations in place</t>
  </si>
  <si>
    <t>Offcial policy or strategy document approved</t>
  </si>
  <si>
    <t>Plastic, cans, and glass</t>
  </si>
  <si>
    <t>Country code</t>
  </si>
  <si>
    <t xml:space="preserve">Country name </t>
  </si>
  <si>
    <t>GDP</t>
  </si>
  <si>
    <t>Population in waste generation year</t>
  </si>
  <si>
    <t>Composition - food  (% weight MSW)</t>
  </si>
  <si>
    <t>Composition - glass  (% weight MSW)</t>
  </si>
  <si>
    <t>Composition - metal (% weight MSW)</t>
  </si>
  <si>
    <t>Composition - plastic (% weight MSW)</t>
  </si>
  <si>
    <t>Composition - wood (% weight MSW)</t>
  </si>
  <si>
    <t>Composition - textiles (% weight MSW)</t>
  </si>
  <si>
    <t>Composition - electrical and electronic equipment (% weight MSW)</t>
  </si>
  <si>
    <t>Composition - hazardous (% weight MSW)</t>
  </si>
  <si>
    <t>Composition - other (% weight MSW)</t>
  </si>
  <si>
    <t>MSW - separately collected for recycling (t/y)</t>
  </si>
  <si>
    <t>Rigid plastic (% weight MSW plastic)</t>
  </si>
  <si>
    <t>Flexible plastic (% weight MSW plastic)</t>
  </si>
  <si>
    <t>Collection coverage - rural (% households)</t>
  </si>
  <si>
    <t>Collection coverage - rural (% population)</t>
  </si>
  <si>
    <t>Collection coverage - rural (% weight MSW)</t>
  </si>
  <si>
    <t>Collection coverage - total (% households)</t>
  </si>
  <si>
    <t>Collection coverage - total (% population)</t>
  </si>
  <si>
    <t>Collection coverage - total (% weight MSW)</t>
  </si>
  <si>
    <t>Collection coverage - urban (% households)</t>
  </si>
  <si>
    <t>Collection coverage - urban (% population)</t>
  </si>
  <si>
    <t>Collection coverage - urban (% weight MSW)</t>
  </si>
  <si>
    <t>Treatment - open dump (% weight MSW generated)</t>
  </si>
  <si>
    <t>Treatment - controlled landfill (% weight MSW generated)</t>
  </si>
  <si>
    <t>Treatment - sanitary landfill (% weight MSW generated)</t>
  </si>
  <si>
    <t>Treatment - unspecified landfill (% weight MSW generated)</t>
  </si>
  <si>
    <t>Treatment - anaerobic digestion (% weight MSW generated)</t>
  </si>
  <si>
    <t>Treatment - composting (% weight MSW generated)</t>
  </si>
  <si>
    <t>Treatment - recycling (% weight MSW generated)</t>
  </si>
  <si>
    <t>Treatment - incineration (% weight MSW generated)</t>
  </si>
  <si>
    <t>Treatment - MBT (% weight MSW generated)</t>
  </si>
  <si>
    <t>Treatment - RDF (% weight MSW generated)</t>
  </si>
  <si>
    <t>Treatment - other (% weight MSW generated)</t>
  </si>
  <si>
    <t>Treatment - uncollected (% weight MSW generated)</t>
  </si>
  <si>
    <t>Uncollected - dumped on land (% population uncollected)</t>
  </si>
  <si>
    <t>Uncollected - open burned  (% population uncollected)</t>
  </si>
  <si>
    <t>Uncollected - buried (% population uncollected)</t>
  </si>
  <si>
    <t>Uncollected - aquatic environment (% population uncollected)</t>
  </si>
  <si>
    <t>Uncollected - recycled or composted (% population uncollected)</t>
  </si>
  <si>
    <t>Uncollected - other (% population  uncollected)</t>
  </si>
  <si>
    <t>Formal waste workers</t>
  </si>
  <si>
    <t xml:space="preserve">Formal waste workers - women </t>
  </si>
  <si>
    <t xml:space="preserve">Informal waste workers </t>
  </si>
  <si>
    <t>Informal waste workers - women</t>
  </si>
  <si>
    <t>Informal waste workers - children</t>
  </si>
  <si>
    <t>Existence of national strategy or plans to manage plastic waste</t>
  </si>
  <si>
    <t>Existence of national policy or legislation for plastic waste</t>
  </si>
  <si>
    <t>Existence of national policy or legislation for addressing plastic waste in the upstream system</t>
  </si>
  <si>
    <t>Name of national policy or legislation for addressing plastic waste in the upstream system</t>
  </si>
  <si>
    <t>Existence of national policy or legislation for addressing plastic waste in the midstream system</t>
  </si>
  <si>
    <t>Name of national policy or legislation for addressing plastic waste in the midstream system</t>
  </si>
  <si>
    <t>Existence of national policy or legislation for addressing plastic waste in the downstream system</t>
  </si>
  <si>
    <t>Name of national policy or legislation for addressing plastic waste in the downstream system</t>
  </si>
  <si>
    <t xml:space="preserve">Existence of EPR system </t>
  </si>
  <si>
    <t>Operational status of EPR system</t>
  </si>
  <si>
    <t>Existence of DRS for beverage containers</t>
  </si>
  <si>
    <t>Geographical scope of DRS</t>
  </si>
  <si>
    <t>DRS container scope</t>
  </si>
  <si>
    <t>Driver of participation in DRS</t>
  </si>
  <si>
    <t>Operational status of DRS</t>
  </si>
  <si>
    <t>population_number_of_people_2022</t>
  </si>
  <si>
    <t>msw_total_msw_generated_kg_per_cap_per_day_projected_2022</t>
  </si>
  <si>
    <t>population_number_of_people_2030</t>
  </si>
  <si>
    <t>msw_total_msw_generated_kg_per_cap_per_day_projected_2030</t>
  </si>
  <si>
    <t>population_number_of_people_2040</t>
  </si>
  <si>
    <t>msw_total_msw_generated_kg_per_cap_per_day_projected_2040</t>
  </si>
  <si>
    <t>population_number_of_people_2050</t>
  </si>
  <si>
    <t>msw_total_msw_generated_kg_per_cap_per_day_projected_2050</t>
  </si>
  <si>
    <t>Brunei Darussalam National Climate Change Policy</t>
  </si>
  <si>
    <t>Cambodia: Solid Waste And Plastic Management Improvement Project</t>
  </si>
  <si>
    <t>Indonesia Long-Term Strategy For Low Carbon And Climate Resilience 20250</t>
  </si>
  <si>
    <t>The Plastic Resource Circulation Act. https://www.env.go.jp/content/900452895.pdf</t>
  </si>
  <si>
    <t>National Strategy For The Management Of Solid Domestic Waste And Secondary Material Resources Until 2035</t>
  </si>
  <si>
    <t>Federal Action Plan For A Circular Economy (2021–2024)</t>
  </si>
  <si>
    <t>National Plastics Action Plan For The Lao PDR 2024-2030</t>
  </si>
  <si>
    <t>Circular Economy Blueprint For Solid Waste (2025–2035)</t>
  </si>
  <si>
    <t>Mongolia National Waste Management Improvement Strategy And Action Plan 2017-30</t>
  </si>
  <si>
    <t>National Waste Management Strategy And Action Plan (Nwmsap) 2017-2030</t>
  </si>
  <si>
    <t>Waste Strategy: Getting Rid Of Waste For A Circular New Zealand</t>
  </si>
  <si>
    <t>A Healthy Environment And A Healthy Economy (The Plan)</t>
  </si>
  <si>
    <t>Waste Management Plan Of The Republic Of Croatia For The Period 2023–2028</t>
  </si>
  <si>
    <t>National Waste Management And Pollution Control Strategy (2017–2026)</t>
  </si>
  <si>
    <t>The Sustainable Consumption And Production Roadmap 2017-2036</t>
  </si>
  <si>
    <t>Towards A National Strategic Framework For The Circular Economy In The Czech Republic</t>
  </si>
  <si>
    <t>Vanuatu National Waste Management, Pollution Control Strategy And Implementation Plan 2016–2020</t>
  </si>
  <si>
    <t xml:space="preserve">Article 64 of Decree 08/2022/ND-CP </t>
  </si>
  <si>
    <t>Waste Management Policy In Armenia (2022–2026)</t>
  </si>
  <si>
    <t>National Plan For Prevention And Management Of Waste 2020-2032</t>
  </si>
  <si>
    <t>National Strategy On Improving Solid Domestic Waste Management (2018–2022)</t>
  </si>
  <si>
    <t>Circular Economy National Strategy And Action Plan</t>
  </si>
  <si>
    <t xml:space="preserve">National Waste Management Plan (NWMP) 2023-2028 </t>
  </si>
  <si>
    <t>National Strategy: BIH Environmental Strategy And Action Plan 2030+</t>
  </si>
  <si>
    <t>National Waste Management Plan (Nwmp) 2021–2028</t>
  </si>
  <si>
    <t>States Of Jersey Solid Waste Strategy</t>
  </si>
  <si>
    <t>Roadmap To The Circular Economy</t>
  </si>
  <si>
    <t>The National Waste Prevention Plan</t>
  </si>
  <si>
    <t>New National Waste Management Plan (NWMP) 2020 – 2030 (Νέο Εθνικό Σχέδιο Διαχείρισης Αποβλήτων (Εσδα) 2020 – 2030)</t>
  </si>
  <si>
    <t>Greenland'S Waste Action Plan 2020–2031</t>
  </si>
  <si>
    <t>2016-2030 National Strategy And Activity Plan Of Waste Management</t>
  </si>
  <si>
    <t>Waste Blueprint For Hong Kong 2035”</t>
  </si>
  <si>
    <t>Towards A National Circular Economy Strategy For Hungary</t>
  </si>
  <si>
    <t>National Policy On Waste Reduction Of Iceland</t>
  </si>
  <si>
    <t>Waste Action Plan For A Circular Economy</t>
  </si>
  <si>
    <t>Strategy For A Sustainable Waste Economy 2021-2030 - Moving To A Circular Economy In 2050.</t>
  </si>
  <si>
    <t>Isle Of Man Government 2018 Waste Strategy</t>
  </si>
  <si>
    <t>Sustainable Consumption And Production Action Plan</t>
  </si>
  <si>
    <t>National Development Strategy Of The Kyrgyz Republic For 2018-2040</t>
  </si>
  <si>
    <t>Kiribati Waste Management And Resource Recovery
Strategy (2020-2030)</t>
  </si>
  <si>
    <t>National Waste And Resource Plan (Plan National De Gestion
Des Déchets Et Des Ressources — Pngdr)</t>
  </si>
  <si>
    <t>National Waste Management Program For The Period Of 2022-2027</t>
  </si>
  <si>
    <t>Monaco Waste Prevention And Management Plan By 2030</t>
  </si>
  <si>
    <t>Kosovo Integrated Waste Management Strategy (2021- 2030) And Action Plan
(2021-2023)</t>
  </si>
  <si>
    <t>Waste Management Plan Of The Republic Of Northern Macedonia For 2021-2031 (План За Управување Со Отпад На Република Северна Македонија За 2021-2031)</t>
  </si>
  <si>
    <t>National Waste Management Plan For 2021-2028</t>
  </si>
  <si>
    <t>National Climate Change Management Agenda</t>
  </si>
  <si>
    <t>Solid Waste Management Plan For Majuro (2019–2028)</t>
  </si>
  <si>
    <t>Presidential Decree On National Objectives And Strategy</t>
  </si>
  <si>
    <t>Waste Management Program Of The Republic Of Serbia For The Period 2022-2031</t>
  </si>
  <si>
    <t>A Circular Economy In The Netherlands By 2050</t>
  </si>
  <si>
    <t>Waste Plan 2020 – 2025: Status And Plans For Waste
Management, Including Waste Prevention Programme</t>
  </si>
  <si>
    <t>Strategy For The Development Of The Green Economy In The Republic Of Tajikistan For 2023-2037</t>
  </si>
  <si>
    <t>The National Waste Management Plan - 2014-2020 (Planul Național De Gestionare A Deșeurilor - 2014-2020)</t>
  </si>
  <si>
    <t>Solid Waste Management Strategy For The Period Of 2019-2028</t>
  </si>
  <si>
    <t>National Strategy For Integrated MSW Management 2005-2025</t>
  </si>
  <si>
    <t>Solid Waste Masterplan For Seychelles (2020-2035)_x000D_</t>
  </si>
  <si>
    <t>Waste Management Program Of The Slovak Republic For The Years 2021-2025 (Program Odpadového Hospodárstva Sr Na Roky 2021– 2025)</t>
  </si>
  <si>
    <t>Roadmap For A Circular Chile By 2040</t>
  </si>
  <si>
    <t>National Policy For Integrated Solid Waste Management 2016-2030</t>
  </si>
  <si>
    <t>Dominica Limpia Policy On Solid Waste Management, 2017-2020  </t>
  </si>
  <si>
    <t>Program Ravnanja Z Odpadki I Program Preprečevanja
Odpadkov Republike Slovenije” (2022)</t>
  </si>
  <si>
    <t>National Plan For Integrated Waste Management</t>
  </si>
  <si>
    <t>A National Integrated Solid Waste Management Strategy For The Cooperative Republic Of Guyana 2017-2030  </t>
  </si>
  <si>
    <t>State Framework Plan For Waste Management 2016-2022. (Plan Estatal Marco De Gestión De Residuos 2016-2022 (PEMAR))</t>
  </si>
  <si>
    <t>National Strategy And Action Plan For The Integrated Management Of Hazardous And Non-Hazardous Solid Waste, And Waste Electrical And Electronic Equipment (WEEE)</t>
  </si>
  <si>
    <t>Establish The Administrative Requirements For The Importation Of Non-Hazardous Plastic Waste Ministerial Resolution No. 105.10.2020. http://legislacion.asamblea.gob.ni/Normaweb.nsf/(All)/EE43765B9EB46F8206258631005832C9?OpenDocument</t>
  </si>
  <si>
    <t>Circular Economy Roadmap With A Climate Change Approach</t>
  </si>
  <si>
    <t>National Development Plan 2030 Includes Sustainable Management Of Urban And Industrial Waste  </t>
  </si>
  <si>
    <t>The Ministry of the Environment (MINAM)</t>
  </si>
  <si>
    <t>National Integrated Solid Waste Management Plan- Planres 2016-2024</t>
  </si>
  <si>
    <t>Circular Economy - Strategy For The Transition In Sweden</t>
  </si>
  <si>
    <t>EU Single-Use Plastics Directive</t>
  </si>
  <si>
    <t>Waste Policy</t>
  </si>
  <si>
    <t>UMC (2019)</t>
  </si>
  <si>
    <t>National Strategy For Integrated Waste Management In Algeria</t>
  </si>
  <si>
    <t>—</t>
  </si>
  <si>
    <t>National Waste Management And Action Plan, 2016–2023</t>
  </si>
  <si>
    <t>National Strategy For The Environment And Sustainable Development</t>
  </si>
  <si>
    <t>National Strategy For Waste Reduction</t>
  </si>
  <si>
    <t>Tuvalu Integrated Waste Policy And Action Plan (2017–2026)</t>
  </si>
  <si>
    <t>A Green Future: Our 25 Year Plan To Improve The Environment</t>
  </si>
  <si>
    <t>National Policy On Waste Management</t>
  </si>
  <si>
    <t>National 3R Strategy For Waste Management</t>
  </si>
  <si>
    <t>National Sustainable Development Strategy : Pakistan’S Pathway To A Sustainable &amp; Resilient Future</t>
  </si>
  <si>
    <t>Generic Waste Management Plans Prepared For The Local Authorities</t>
  </si>
  <si>
    <t>National Sanitation Policy And Strategy 2007</t>
  </si>
  <si>
    <t>Strategic National Plan For The Prevention And Management Of Waste (Penger)</t>
  </si>
  <si>
    <t>National Strategy For Waste Management, 2007</t>
  </si>
  <si>
    <t>National Sanitation Policy (Politique Nationale D’Assainissement, Pona), 2013.</t>
  </si>
  <si>
    <t>Master Plan For Solid Waste Management 2008-2018</t>
  </si>
  <si>
    <t>Accelerating Action: Targets For The Sound Management Of Chemicals And Waste</t>
  </si>
  <si>
    <t>National Integrated Urban Sanitation And Hygiene Strategy, 2017</t>
  </si>
  <si>
    <t>National Solid Waste Management Strategy For Ghana</t>
  </si>
  <si>
    <t>Integrated Strategy On Waste Management For Lesotho 2022</t>
  </si>
  <si>
    <t>National Climate Change Strategy For The Waste Sector 2021</t>
  </si>
  <si>
    <t>National Sanitation And Hygiene Strategy 2018 - 2024</t>
  </si>
  <si>
    <t>Law N ° 2014-024 / Of 03 July 2014 Bearing Prohibition Of Production, Import And Marketing Of Non-Biodegradable Plastic Bags Biodegradable In The Republic Of Mali. https://nicholasinstitute.duke.edu/sites/default/files/plastics-policies/2419_TR_Final_Mali%202014%20plastic%20bag%20ban.pdf#:~:text=ARTICLE%201:%20This%20law%20prohibits%2C%20from%20the,plastic%20bags%20in%20the%20Republic%20of%20Mali.&amp;text=ARTICLE%205:%20Anyone%20who%20produces%2C%20imports%20or,and%20200%20francs%20per%20large%20format%20bag.</t>
  </si>
  <si>
    <t>Roadmap And Action Plan For A Circular Economy In The Republic Of Mauritius</t>
  </si>
  <si>
    <t>National Environment Plan For A Sustainable Development (Plan National De L’Environnement Pour Un Développement Durable)</t>
  </si>
  <si>
    <t xml:space="preserve">National Action Policy On Solid Waste Management </t>
  </si>
  <si>
    <t>Rwanda National Circular Economy Action Plan And Roadmap</t>
  </si>
  <si>
    <t>National Integrated Waste Management Plan – São Tomé And Príncipe (2018-2023)</t>
  </si>
  <si>
    <t>National Waste Management Plan (Plan Nacional De Gestión De Residuos (PNGR))</t>
  </si>
  <si>
    <t>National Solid Waste Management Strategy For Zambia</t>
  </si>
  <si>
    <t>Population in 2022</t>
  </si>
  <si>
    <t>UMIC</t>
  </si>
  <si>
    <t>LMIC</t>
  </si>
  <si>
    <t>Sint Maarten (Dutch)</t>
  </si>
  <si>
    <t>St. Martin (French)</t>
  </si>
  <si>
    <t>Income group (waste generation year)</t>
  </si>
  <si>
    <t>Income group (2022)</t>
  </si>
  <si>
    <t>MSW generation - year reported</t>
  </si>
  <si>
    <t>MSW generation - point of measurement</t>
  </si>
  <si>
    <t>MSW generation (kg/capita/day)</t>
  </si>
  <si>
    <t>Population in 2030</t>
  </si>
  <si>
    <t>Population in 2040</t>
  </si>
  <si>
    <t>Population in 2050</t>
  </si>
  <si>
    <t xml:space="preserve">Composition - rubber &amp; leather  (% weight MSW) </t>
  </si>
  <si>
    <t>Composition - garden/green/horticultural (% weight MSW)</t>
  </si>
  <si>
    <t>Composition - diapers &amp; hygiene (% weight MSW)</t>
  </si>
  <si>
    <t>Existence of information system for SWM quantification</t>
  </si>
  <si>
    <t>Existence of national agency to enforce SWM laws and regulations</t>
  </si>
  <si>
    <t>Existence of national department to enforce SWM laws and regulations</t>
  </si>
  <si>
    <t>Name of national agency that enforces SWM laws and regulations</t>
  </si>
  <si>
    <t>Existence of national law which governs SWM</t>
  </si>
  <si>
    <t>Existence of rules and regulations for public-private partnerships</t>
  </si>
  <si>
    <t>Existence of publicly available SWM information</t>
  </si>
  <si>
    <t>Existence of EPR system for packaging waste</t>
  </si>
  <si>
    <t>Existence of EPR system for non-packaging waste</t>
  </si>
  <si>
    <t>Existence of EPR system for fishing gear waste</t>
  </si>
  <si>
    <t>Existence of EPR system for WEEE</t>
  </si>
  <si>
    <t>Existence of EPR system for waste batteries</t>
  </si>
  <si>
    <t>EPR leadership model (private or government led)</t>
  </si>
  <si>
    <t>Mandatory or voluntary EPR</t>
  </si>
  <si>
    <t>MSW generation - projected 2022 (t/year)</t>
  </si>
  <si>
    <t>Virgin Islands (US)</t>
  </si>
  <si>
    <t>msw_total_msw_generated_tonnes_year</t>
  </si>
  <si>
    <t>msw_total_msw_generated_tonnes_year_projected_2022</t>
  </si>
  <si>
    <t>msw_total_msw_generated_tonnes_year_projected_2030</t>
  </si>
  <si>
    <t>msw_total_msw_generated_tonnes_year_projected_2040</t>
  </si>
  <si>
    <t>msw_total_msw_generated_tonnes_year_projected_2050</t>
  </si>
  <si>
    <t>non_msw_waste_agricultural_waste_generated_tonnes_year</t>
  </si>
  <si>
    <t>non_msw_waste_construction_and_demolition_waste_generated_tonnes_year</t>
  </si>
  <si>
    <t>non_msw_waste_e_waste_generated_tonnes_year</t>
  </si>
  <si>
    <t>non_msw_waste_hazardous_waste_generated_tonnes_year</t>
  </si>
  <si>
    <t>non_msw_waste_industrial_waste_generated_excluding_mining_tonnes_year</t>
  </si>
  <si>
    <t>non_msw_waste_mining_waste_generated_tonnes_year</t>
  </si>
  <si>
    <t>non_msw_waste_medical_waste_generated_tonnes_year</t>
  </si>
  <si>
    <t>Sub-Saharan Africa</t>
  </si>
  <si>
    <t>MSW generation (t/y)</t>
  </si>
  <si>
    <t>MSW generation - projected 2022 (kg/cap/day)</t>
  </si>
  <si>
    <t>MSW generation - projected 2030 (t/y)</t>
  </si>
  <si>
    <t>MSW generation - projected 2030 (kg/cap/day)</t>
  </si>
  <si>
    <t>MSW generation - projected 2040 (t/y)</t>
  </si>
  <si>
    <t>MSW generation - projected 2040 (kg/cap/day)</t>
  </si>
  <si>
    <t>MSW generation - projected 2050 (t/y)</t>
  </si>
  <si>
    <t>MSW generation - projected 2050 (kg/cap/day)</t>
  </si>
  <si>
    <t>Composition - paper &amp; cardboard (% weight MSW)</t>
  </si>
  <si>
    <t>Non-MSW - agricultural waste (t/year)</t>
  </si>
  <si>
    <t>Non-MSW - construction and demolition waste (t/year)</t>
  </si>
  <si>
    <t>Non-MSW - electrical and electronic equipment (t/year)</t>
  </si>
  <si>
    <t>Non-MSW - hazardous waste (t/year)</t>
  </si>
  <si>
    <t>Non-MSW - industrial (excluding mining) waste (t/year)</t>
  </si>
  <si>
    <t>Non-MSW - mining waste (t/year)</t>
  </si>
  <si>
    <t>Non-MSW - medical waste (t/year)</t>
  </si>
  <si>
    <t>Treatment - unaccounted for (% weight MSW generated)</t>
  </si>
  <si>
    <t>Existence of EPR system for other waste</t>
  </si>
  <si>
    <t>E. Asia &amp; Pacific</t>
  </si>
  <si>
    <t>Eur. &amp; Cent. Asia</t>
  </si>
  <si>
    <t>L. Amer. &amp; the Caribbean</t>
  </si>
  <si>
    <t>Mid. East &amp; N. Africa</t>
  </si>
  <si>
    <t>N. Amer.</t>
  </si>
  <si>
    <t>S. Asia</t>
  </si>
  <si>
    <t>Name of national plan or strategy to manage municipal solid waste</t>
  </si>
  <si>
    <t>Waste Management Strategy For The British Virgin Islands</t>
  </si>
  <si>
    <t>National Action Plan To End Plastic Pollution In the Gambia</t>
  </si>
  <si>
    <t>Government-led</t>
  </si>
  <si>
    <t>Both government- and industry-led</t>
  </si>
  <si>
    <t>Industry-led</t>
  </si>
  <si>
    <t>Plastic, cans, food and drink cartons, and glass</t>
  </si>
  <si>
    <t>Plastic and food and drink cartons</t>
  </si>
  <si>
    <t>Combination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</si>
</sst>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1">
    <font>
      <sz val="11"/>
      <color theme="1"/>
      <name val="Aptos Narrow"/>
      <family val="2"/>
      <scheme val="minor"/>
    </font>
    <font>
      <sz val="11"/>
      <color theme="1"/>
      <name val="Aptos Narrow"/>
      <family val="2"/>
      <scheme val="minor"/>
    </font>
    <font>
      <sz val="11"/>
      <color theme="1"/>
      <name val="Aptos Narrow"/>
      <family val="2"/>
      <scheme val="minor"/>
    </font>
    <font>
      <sz val="11"/>
      <color rgb="FF000000"/>
      <name val="Aptos Narrow"/>
      <family val="2"/>
      <scheme val="minor"/>
    </font>
    <font>
      <u/>
      <sz val="11"/>
      <color theme="10"/>
      <name val="Aptos Narrow"/>
      <family val="2"/>
      <scheme val="minor"/>
    </font>
    <font>
      <b/>
      <sz val="11"/>
      <color theme="1"/>
      <name val="Aptos Narrow"/>
      <family val="2"/>
      <scheme val="minor"/>
    </font>
    <font>
      <sz val="11"/>
      <color rgb="FFFF0000"/>
      <name val="Aptos Narrow"/>
      <family val="2"/>
      <scheme val="minor"/>
    </font>
    <font>
      <sz val="12"/>
      <color rgb="FF000000"/>
      <name val="Aptos Narrow"/>
      <family val="2"/>
      <scheme val="minor"/>
    </font>
    <font>
      <i/>
      <sz val="11"/>
      <color theme="1"/>
      <name val="Aptos Narrow"/>
      <family val="2"/>
      <scheme val="minor"/>
    </font>
    <font>
      <sz val="11"/>
      <color rgb="FF000000"/>
      <name val="Calibri"/>
      <family val="2"/>
    </font>
    <font>
      <sz val="11"/>
      <color theme="1"/>
      <name val="Aptos Narrow"/>
      <scheme val="minor"/>
    </font>
  </fonts>
  <fills count="8">
    <fill>
      <patternFill patternType="none"/>
    </fill>
    <fill>
      <patternFill patternType="gray125"/>
    </fill>
    <fill>
      <patternFill patternType="solid">
        <fgColor theme="9"/>
        <bgColor indexed="64"/>
      </patternFill>
    </fill>
    <fill>
      <patternFill patternType="solid">
        <fgColor theme="9" tint="0.79998168889431442"/>
        <bgColor indexed="65"/>
      </patternFill>
    </fill>
    <fill>
      <patternFill patternType="solid">
        <fgColor rgb="FFFFFF00"/>
        <bgColor indexed="64"/>
      </patternFill>
    </fill>
    <fill>
      <patternFill patternType="solid">
        <fgColor rgb="FFC00000"/>
        <bgColor indexed="64"/>
      </patternFill>
    </fill>
    <fill>
      <patternFill patternType="solid">
        <fgColor rgb="FF00B050"/>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6">
    <xf numFmtId="0" fontId="0" fillId="0" borderId="0"/>
    <xf numFmtId="0" fontId="3" fillId="0" borderId="0"/>
    <xf numFmtId="0" fontId="4" fillId="0" borderId="0" applyNumberFormat="0" applyFill="0" applyBorder="0" applyAlignment="0" applyProtection="0"/>
    <xf numFmtId="0" fontId="2" fillId="0" borderId="0"/>
    <xf numFmtId="0" fontId="1" fillId="3" borderId="0" applyNumberFormat="0" applyBorder="0" applyAlignment="0" applyProtection="0"/>
    <xf numFmtId="9" fontId="1" fillId="0" borderId="0" applyFont="0" applyFill="0" applyBorder="0" applyAlignment="0" applyProtection="0"/>
  </cellStyleXfs>
  <cellXfs count="55">
    <xf numFmtId="0" fontId="0" fillId="0" borderId="0" xfId="0"/>
    <xf numFmtId="0" fontId="4" fillId="0" borderId="0" xfId="2"/>
    <xf numFmtId="0" fontId="5" fillId="0" borderId="0" xfId="0" applyFont="1"/>
    <xf numFmtId="0" fontId="1" fillId="3" borderId="1" xfId="4" applyBorder="1" applyAlignment="1">
      <alignment wrapText="1"/>
    </xf>
    <xf numFmtId="0" fontId="1" fillId="3" borderId="1" xfId="4" applyBorder="1"/>
    <xf numFmtId="0" fontId="6" fillId="4" borderId="2" xfId="4" applyFont="1" applyFill="1" applyBorder="1" applyAlignment="1">
      <alignment wrapText="1"/>
    </xf>
    <xf numFmtId="0" fontId="0" fillId="5" borderId="1" xfId="0" applyFill="1" applyBorder="1"/>
    <xf numFmtId="0" fontId="0" fillId="0" borderId="1" xfId="0" applyBorder="1"/>
    <xf numFmtId="0" fontId="0" fillId="2" borderId="1" xfId="0" applyFill="1" applyBorder="1"/>
    <xf numFmtId="0" fontId="0" fillId="0" borderId="1" xfId="0" applyBorder="1" applyAlignment="1">
      <alignment wrapText="1"/>
    </xf>
    <xf numFmtId="0" fontId="4" fillId="0" borderId="1" xfId="2" applyFill="1" applyBorder="1"/>
    <xf numFmtId="15" fontId="0" fillId="0" borderId="1" xfId="0" applyNumberFormat="1" applyBorder="1"/>
    <xf numFmtId="0" fontId="4" fillId="0" borderId="1" xfId="2" applyBorder="1"/>
    <xf numFmtId="0" fontId="0" fillId="0" borderId="2" xfId="0" applyBorder="1"/>
    <xf numFmtId="0" fontId="7" fillId="0" borderId="0" xfId="0" applyFont="1"/>
    <xf numFmtId="0" fontId="4" fillId="0" borderId="1" xfId="2" applyFill="1" applyBorder="1" applyAlignment="1"/>
    <xf numFmtId="0" fontId="4" fillId="0" borderId="1" xfId="0" applyFont="1" applyBorder="1"/>
    <xf numFmtId="0" fontId="4" fillId="0" borderId="1" xfId="2" applyBorder="1" applyAlignment="1"/>
    <xf numFmtId="0" fontId="0" fillId="6" borderId="1" xfId="0" applyFill="1" applyBorder="1"/>
    <xf numFmtId="16" fontId="0" fillId="0" borderId="1" xfId="0" applyNumberFormat="1" applyBorder="1"/>
    <xf numFmtId="0" fontId="0" fillId="0" borderId="1" xfId="0" applyBorder="1" applyAlignment="1">
      <alignment horizontal="left"/>
    </xf>
    <xf numFmtId="0" fontId="4" fillId="0" borderId="1" xfId="2" applyFill="1" applyBorder="1" applyAlignment="1">
      <alignment wrapText="1"/>
    </xf>
    <xf numFmtId="0" fontId="3" fillId="0" borderId="1" xfId="0" applyFont="1" applyBorder="1"/>
    <xf numFmtId="0" fontId="4" fillId="0" borderId="1" xfId="2" applyBorder="1" applyAlignment="1">
      <alignment wrapText="1"/>
    </xf>
    <xf numFmtId="0" fontId="0" fillId="7" borderId="1" xfId="0" applyFill="1" applyBorder="1"/>
    <xf numFmtId="0" fontId="0" fillId="0" borderId="1" xfId="0" applyBorder="1" applyAlignment="1">
      <alignment horizontal="left" wrapText="1"/>
    </xf>
    <xf numFmtId="0" fontId="0" fillId="0" borderId="0" xfId="0" applyAlignment="1">
      <alignment vertical="top"/>
    </xf>
    <xf numFmtId="0" fontId="1" fillId="0" borderId="0" xfId="1" applyFont="1" applyAlignment="1">
      <alignment vertical="top"/>
    </xf>
    <xf numFmtId="10" fontId="1" fillId="0" borderId="0" xfId="5" applyNumberFormat="1" applyFont="1" applyFill="1" applyBorder="1" applyAlignment="1">
      <alignment vertical="top"/>
    </xf>
    <xf numFmtId="164" fontId="1" fillId="0" borderId="0" xfId="5" applyNumberFormat="1" applyFont="1" applyFill="1" applyBorder="1" applyAlignment="1">
      <alignment vertical="top" wrapText="1"/>
    </xf>
    <xf numFmtId="9" fontId="1" fillId="0" borderId="0" xfId="5" applyFont="1" applyFill="1" applyBorder="1" applyAlignment="1">
      <alignment vertical="top" wrapText="1"/>
    </xf>
    <xf numFmtId="0" fontId="0" fillId="0" borderId="1" xfId="0" applyBorder="1" applyAlignment="1">
      <alignment vertical="top"/>
    </xf>
    <xf numFmtId="0" fontId="1" fillId="0" borderId="1" xfId="1" applyFont="1" applyBorder="1" applyAlignment="1">
      <alignment vertical="top" wrapText="1"/>
    </xf>
    <xf numFmtId="0" fontId="0" fillId="0" borderId="0" xfId="1" applyFont="1"/>
    <xf numFmtId="10" fontId="1" fillId="0" borderId="0" xfId="5" applyNumberFormat="1" applyFont="1" applyFill="1" applyBorder="1" applyAlignment="1">
      <alignment vertical="top" wrapText="1"/>
    </xf>
    <xf numFmtId="0" fontId="0" fillId="0" borderId="1" xfId="1" applyFont="1" applyBorder="1" applyAlignment="1">
      <alignment vertical="center" wrapText="1"/>
    </xf>
    <xf numFmtId="0" fontId="0" fillId="0" borderId="1" xfId="0" applyBorder="1" applyAlignment="1">
      <alignment vertical="top" wrapText="1"/>
    </xf>
    <xf numFmtId="0" fontId="0" fillId="0" borderId="1" xfId="1" applyFont="1" applyBorder="1" applyAlignment="1">
      <alignment vertical="top" wrapText="1"/>
    </xf>
    <xf numFmtId="0" fontId="1" fillId="0" borderId="1" xfId="0" applyFont="1" applyBorder="1" applyAlignment="1">
      <alignment vertical="top" wrapText="1"/>
    </xf>
    <xf numFmtId="3" fontId="1" fillId="0" borderId="0" xfId="1" applyNumberFormat="1" applyFont="1" applyAlignment="1">
      <alignment vertical="top"/>
    </xf>
    <xf numFmtId="1" fontId="1" fillId="0" borderId="0" xfId="1" applyNumberFormat="1" applyFont="1" applyAlignment="1">
      <alignment vertical="top"/>
    </xf>
    <xf numFmtId="4" fontId="1" fillId="0" borderId="0" xfId="1" applyNumberFormat="1" applyFont="1" applyAlignment="1">
      <alignment vertical="top"/>
    </xf>
    <xf numFmtId="10" fontId="1" fillId="0" borderId="0" xfId="1" applyNumberFormat="1" applyFont="1" applyAlignment="1">
      <alignment vertical="top"/>
    </xf>
    <xf numFmtId="0" fontId="1" fillId="0" borderId="0" xfId="0" applyFont="1" applyAlignment="1">
      <alignment vertical="top"/>
    </xf>
    <xf numFmtId="3" fontId="1" fillId="0" borderId="0" xfId="0" applyNumberFormat="1" applyFont="1" applyAlignment="1">
      <alignment vertical="top"/>
    </xf>
    <xf numFmtId="10" fontId="9" fillId="0" borderId="0" xfId="1" applyNumberFormat="1" applyFont="1"/>
    <xf numFmtId="0" fontId="10" fillId="0" borderId="0" xfId="1" applyFont="1" applyAlignment="1">
      <alignment vertical="top"/>
    </xf>
    <xf numFmtId="0" fontId="1" fillId="0" borderId="0" xfId="1" quotePrefix="1" applyFont="1" applyAlignment="1">
      <alignment vertical="top"/>
    </xf>
    <xf numFmtId="0" fontId="1" fillId="0" borderId="0" xfId="1" applyFont="1" applyAlignment="1">
      <alignment vertical="top" wrapText="1"/>
    </xf>
    <xf numFmtId="10" fontId="1" fillId="0" borderId="0" xfId="1" applyNumberFormat="1" applyFont="1" applyAlignment="1">
      <alignment vertical="top" wrapText="1"/>
    </xf>
    <xf numFmtId="10" fontId="1" fillId="0" borderId="0" xfId="0" applyNumberFormat="1" applyFont="1" applyAlignment="1">
      <alignment vertical="top"/>
    </xf>
    <xf numFmtId="3" fontId="3" fillId="0" borderId="0" xfId="1" applyNumberFormat="1" applyAlignment="1">
      <alignment vertical="top"/>
    </xf>
    <xf numFmtId="3" fontId="9" fillId="0" borderId="0" xfId="1" applyNumberFormat="1" applyFont="1" applyAlignment="1">
      <alignment vertical="top"/>
    </xf>
    <xf numFmtId="4" fontId="9" fillId="0" borderId="0" xfId="1" applyNumberFormat="1" applyFont="1" applyAlignment="1">
      <alignment vertical="top"/>
    </xf>
    <xf numFmtId="0" fontId="1" fillId="0" borderId="0" xfId="1" applyFont="1" applyAlignment="1">
      <alignment horizontal="center" vertical="top"/>
    </xf>
  </cellXfs>
  <cellStyles count="6">
    <cellStyle name="20% - Accent6" xfId="4" builtinId="50"/>
    <cellStyle name="Hyperlink" xfId="2" builtinId="8"/>
    <cellStyle name="Normal" xfId="0" builtinId="0"/>
    <cellStyle name="Normal 2" xfId="1"/>
    <cellStyle name="Normal 2 2" xfId="3"/>
    <cellStyle name="Percent 2" xfId="5"/>
  </cellStyles>
  <dxfs count="0"/>
  <tableStyles count="0" defaultTableStyle="TableStyleMedium2" defaultPivotStyle="PivotStyleLight16"/>
  <colors>
    <mruColors>
      <color rgb="FFCCECFF"/>
      <color rgb="FF4BACC6"/>
      <color rgb="FFFCCA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https://packagingschool.com/lessons/extended-producer-responsibility-laws-for-packaging-around-the-world" TargetMode="External"/><Relationship Id="rId18" Type="http://schemas.openxmlformats.org/officeDocument/2006/relationships/hyperlink" Target="https://packagingschool.com/lessons/extended-producer-responsibility-laws-for-packaging-around-the-world" TargetMode="External"/><Relationship Id="rId26" Type="http://schemas.openxmlformats.org/officeDocument/2006/relationships/hyperlink" Target="https://ceflex.eu/epr-in-the-global-south-part-2-a-deeper-dive-into-countries-and-regions/" TargetMode="External"/><Relationship Id="rId39" Type="http://schemas.openxmlformats.org/officeDocument/2006/relationships/hyperlink" Target="https://commonseas.com/resources/ending-plastic-pollution-in-the-gambia" TargetMode="External"/><Relationship Id="rId21" Type="http://schemas.openxmlformats.org/officeDocument/2006/relationships/hyperlink" Target="https://packagingschool.com/lessons/extended-producer-responsibility-laws-for-packaging-around-the-world" TargetMode="External"/><Relationship Id="rId34" Type="http://schemas.openxmlformats.org/officeDocument/2006/relationships/hyperlink" Target="https://www.loraxcompliance.com/blog/env/2021/07/07/EPR_in_Africa_-_what_to_expect_in_the_next_few_years.html" TargetMode="External"/><Relationship Id="rId42" Type="http://schemas.openxmlformats.org/officeDocument/2006/relationships/hyperlink" Target="https://www.gov.si/en/news/2021-04-08-more-efficient-implementation-of-the-packaging-waste-management-system/" TargetMode="External"/><Relationship Id="rId7" Type="http://schemas.openxmlformats.org/officeDocument/2006/relationships/hyperlink" Target="https://clarity.eco/knowledge/a-state-by-state-guide-to-the-rollout-of-packaging-epr-approaches-across-eu-member-countries/" TargetMode="External"/><Relationship Id="rId2" Type="http://schemas.openxmlformats.org/officeDocument/2006/relationships/hyperlink" Target="https://packagingschool.com/lessons/extended-producer-responsibility-laws-for-packaging-around-the-world" TargetMode="External"/><Relationship Id="rId16" Type="http://schemas.openxmlformats.org/officeDocument/2006/relationships/hyperlink" Target="https://recykal.com/blog/a-guide-to-epr-compliance-in-india/" TargetMode="External"/><Relationship Id="rId20" Type="http://schemas.openxmlformats.org/officeDocument/2006/relationships/hyperlink" Target="https://rkcmpd-eria.org/index.php/extended-producer-responsibility/legal-framework/viet-nam" TargetMode="External"/><Relationship Id="rId29" Type="http://schemas.openxmlformats.org/officeDocument/2006/relationships/hyperlink" Target="https://www.gov.il/en/pages/extended_producer_responsibility?chapterIndex=4" TargetMode="External"/><Relationship Id="rId41" Type="http://schemas.openxmlformats.org/officeDocument/2006/relationships/hyperlink" Target="https://oirep.ro/articole/epr-scheme-and-its-role-in-the-implementation-of-the-green-and-circular-economy-in-romania/" TargetMode="External"/><Relationship Id="rId1" Type="http://schemas.openxmlformats.org/officeDocument/2006/relationships/hyperlink" Target="https://packagingschool.com/lessons/extended-producer-responsibility-laws-for-packaging-around-the-world" TargetMode="External"/><Relationship Id="rId6" Type="http://schemas.openxmlformats.org/officeDocument/2006/relationships/hyperlink" Target="https://clarity.eco/knowledge/a-state-by-state-guide-to-the-rollout-of-packaging-epr-approaches-across-eu-member-countries/" TargetMode="External"/><Relationship Id="rId11" Type="http://schemas.openxmlformats.org/officeDocument/2006/relationships/hyperlink" Target="https://www.loraxcompliance.com/blog/env/2020/02/21/Turkey_imposes_a_Recycling_Contribution_Fee_(GEKAP).html" TargetMode="External"/><Relationship Id="rId24" Type="http://schemas.openxmlformats.org/officeDocument/2006/relationships/hyperlink" Target="https://packagingschool.com/lessons/extended-producer-responsibility-laws-for-packaging-around-the-world" TargetMode="External"/><Relationship Id="rId32" Type="http://schemas.openxmlformats.org/officeDocument/2006/relationships/hyperlink" Target="https://www.newsfirst.lk/2024/05/31/sri-lanka-to-enforce-extended-producer-responsibility-for-plastic-packaging" TargetMode="External"/><Relationship Id="rId37" Type="http://schemas.openxmlformats.org/officeDocument/2006/relationships/hyperlink" Target="https://mauritiusassembly.govmu.org/mauritiusassembly/wp-content/uploads/2023/04/act0323.pdf;" TargetMode="External"/><Relationship Id="rId40" Type="http://schemas.openxmlformats.org/officeDocument/2006/relationships/hyperlink" Target="https://www.moa.gov.cy/moa/environment/environmentnew.nsf/page21_en/page21_en?OpenDocument;" TargetMode="External"/><Relationship Id="rId5" Type="http://schemas.openxmlformats.org/officeDocument/2006/relationships/hyperlink" Target="https://www.loraxcompliance.com/blog/env/2021/07/07/EPR_in_Africa_-_what_to_expect_in_the_next_few_years.html" TargetMode="External"/><Relationship Id="rId15" Type="http://schemas.openxmlformats.org/officeDocument/2006/relationships/hyperlink" Target="https://packagingschool.com/lessons/extended-producer-responsibility-laws-for-packaging-around-the-world" TargetMode="External"/><Relationship Id="rId23" Type="http://schemas.openxmlformats.org/officeDocument/2006/relationships/hyperlink" Target="https://compliance.globalnorm.de/en/product-compliance-news/detail/kazakhstan-epr-requirements-revised/" TargetMode="External"/><Relationship Id="rId28" Type="http://schemas.openxmlformats.org/officeDocument/2006/relationships/hyperlink" Target="https://bcrciran.ir/draft-practical-manuals-on-extended-producer-responsibility/" TargetMode="External"/><Relationship Id="rId36" Type="http://schemas.openxmlformats.org/officeDocument/2006/relationships/hyperlink" Target="https://mepa.gov.ge/En/News/Details/20899/" TargetMode="External"/><Relationship Id="rId10" Type="http://schemas.openxmlformats.org/officeDocument/2006/relationships/hyperlink" Target="https://packagingschool.com/lessons/extended-producer-responsibility-laws-for-packaging-around-the-world" TargetMode="External"/><Relationship Id="rId19" Type="http://schemas.openxmlformats.org/officeDocument/2006/relationships/hyperlink" Target="https://rkcmpd-eria.org/index.php/extended-producer-responsibility/legal-framework/thailand" TargetMode="External"/><Relationship Id="rId31" Type="http://schemas.openxmlformats.org/officeDocument/2006/relationships/hyperlink" Target="https://www.giz.de/en/downloads/giz2023-en-EPR-schemes-in-SIDS.pdf" TargetMode="External"/><Relationship Id="rId4" Type="http://schemas.openxmlformats.org/officeDocument/2006/relationships/hyperlink" Target="https://www.loraxcompliance.com/blog/env/2021/07/07/EPR_in_Africa_-_what_to_expect_in_the_next_few_years.html" TargetMode="External"/><Relationship Id="rId9" Type="http://schemas.openxmlformats.org/officeDocument/2006/relationships/hyperlink" Target="https://packagingschool.com/lessons/extended-producer-responsibility-laws-for-packaging-around-the-world" TargetMode="External"/><Relationship Id="rId14" Type="http://schemas.openxmlformats.org/officeDocument/2006/relationships/hyperlink" Target="https://doi.org/10.1016/j.cec.2024.100076" TargetMode="External"/><Relationship Id="rId22" Type="http://schemas.openxmlformats.org/officeDocument/2006/relationships/hyperlink" Target="https://environment.govt.nz/what-government-is-doing/areas-of-work/waste/product-stewardship/priority-product-stewardship/" TargetMode="External"/><Relationship Id="rId27" Type="http://schemas.openxmlformats.org/officeDocument/2006/relationships/hyperlink" Target="https://g20mpl.org/partners/egypt" TargetMode="External"/><Relationship Id="rId30" Type="http://schemas.openxmlformats.org/officeDocument/2006/relationships/hyperlink" Target="https://www.wam.ae/en/article/149bjj5-ministry-climate-change-and-environment-prepares" TargetMode="External"/><Relationship Id="rId35" Type="http://schemas.openxmlformats.org/officeDocument/2006/relationships/hyperlink" Target="https://www.me.gov.dz/reglementation/%d9%86%d9%81%d8%a7%d9%8a%d8%a7%d8%aa/;" TargetMode="External"/><Relationship Id="rId43" Type="http://schemas.openxmlformats.org/officeDocument/2006/relationships/hyperlink" Target="https://www.boe.es/buscar/act.php?id=BOE-A-2022-22690" TargetMode="External"/><Relationship Id="rId8" Type="http://schemas.openxmlformats.org/officeDocument/2006/relationships/hyperlink" Target="https://www.gov.uk/government/news/packuk-the-new-scheme-administrator-packaging-extended-producer-responsibility" TargetMode="External"/><Relationship Id="rId3" Type="http://schemas.openxmlformats.org/officeDocument/2006/relationships/hyperlink" Target="https://www.cameroontradeportal.cm/tradeportal/templates/Tip_accueil/docs/arretes/Arrete_minepded_mincommerce.pdf;" TargetMode="External"/><Relationship Id="rId12" Type="http://schemas.openxmlformats.org/officeDocument/2006/relationships/hyperlink" Target="https://deutsche-recycling.com/blog/epr-obligations-in-turkey-and-the-western-balkans/" TargetMode="External"/><Relationship Id="rId17" Type="http://schemas.openxmlformats.org/officeDocument/2006/relationships/hyperlink" Target="http://m-yamaguchi.jp/english_page/EPR_in_Japan_2002_ECP_No19.pdf" TargetMode="External"/><Relationship Id="rId25" Type="http://schemas.openxmlformats.org/officeDocument/2006/relationships/hyperlink" Target="https://ceflex.eu/epr-in-the-global-south-part-2-a-deeper-dive-into-countries-and-regions/" TargetMode="External"/><Relationship Id="rId33" Type="http://schemas.openxmlformats.org/officeDocument/2006/relationships/hyperlink" Target="https://www.complianceandrisks.com/blog/costa-rica-revised-draft-of-proposed-extended-producer-responsibility-law-approved/" TargetMode="External"/><Relationship Id="rId38" Type="http://schemas.openxmlformats.org/officeDocument/2006/relationships/hyperlink" Target="https://pacwasteplus.org/news/extended-producer-responsibility-one-step-closer-in-solomon-islan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F219"/>
  <sheetViews>
    <sheetView tabSelected="1" zoomScaleNormal="95" workbookViewId="0">
      <pane xSplit="3" ySplit="2" topLeftCell="BT35" activePane="bottomRight" state="frozenSplit"/>
      <selection pane="topRight" activeCell="C1" sqref="C1"/>
      <selection pane="bottomLeft" activeCell="A4" sqref="A4"/>
      <selection pane="bottomRight" activeCell="BW38" sqref="BW38"/>
    </sheetView>
  </sheetViews>
  <sheetFormatPr defaultColWidth="11.5" defaultRowHeight="15" customHeight="1"/>
  <cols>
    <col min="1" max="1" width="11.5" style="26" customWidth="1"/>
    <col min="2" max="2" width="11.5" style="26"/>
    <col min="3" max="3" width="22.33203125" style="26" customWidth="1"/>
    <col min="4" max="5" width="11.5" style="26" customWidth="1"/>
    <col min="6" max="6" width="21" style="26" customWidth="1"/>
    <col min="7" max="7" width="15" style="26" customWidth="1"/>
    <col min="8" max="9" width="14.33203125" style="26" customWidth="1"/>
    <col min="10" max="10" width="13.1640625" style="26" customWidth="1"/>
    <col min="11" max="94" width="19.5" style="26" customWidth="1"/>
    <col min="95" max="95" width="15.33203125" style="26" customWidth="1"/>
    <col min="96" max="96" width="14.6640625" style="26" customWidth="1"/>
    <col min="97" max="97" width="16" style="26" customWidth="1"/>
    <col min="98" max="98" width="15.33203125" style="26" customWidth="1"/>
    <col min="99" max="109" width="19.5" style="26" customWidth="1"/>
    <col min="110" max="110" width="25.6640625" style="26" customWidth="1"/>
    <col min="111" max="16384" width="11.5" style="26"/>
  </cols>
  <sheetData>
    <row r="1" spans="1:110" s="36" customFormat="1" ht="60" customHeight="1">
      <c r="A1" s="32" t="s">
        <v>1473</v>
      </c>
      <c r="B1" s="32" t="s">
        <v>1439</v>
      </c>
      <c r="C1" s="32" t="s">
        <v>1474</v>
      </c>
      <c r="D1" s="35" t="s">
        <v>1654</v>
      </c>
      <c r="E1" s="35" t="s">
        <v>1655</v>
      </c>
      <c r="F1" s="32" t="s">
        <v>1475</v>
      </c>
      <c r="G1" s="35" t="s">
        <v>1476</v>
      </c>
      <c r="H1" s="32" t="s">
        <v>1656</v>
      </c>
      <c r="I1" s="32" t="s">
        <v>1694</v>
      </c>
      <c r="J1" s="35" t="s">
        <v>1657</v>
      </c>
      <c r="K1" s="35" t="s">
        <v>1658</v>
      </c>
      <c r="L1" s="35" t="s">
        <v>1679</v>
      </c>
      <c r="M1" s="35" t="s">
        <v>1649</v>
      </c>
      <c r="N1" s="32" t="s">
        <v>1695</v>
      </c>
      <c r="O1" s="32" t="s">
        <v>1696</v>
      </c>
      <c r="P1" s="32" t="s">
        <v>1659</v>
      </c>
      <c r="Q1" s="32" t="s">
        <v>1697</v>
      </c>
      <c r="R1" s="32" t="s">
        <v>1698</v>
      </c>
      <c r="S1" s="32" t="s">
        <v>1660</v>
      </c>
      <c r="T1" s="32" t="s">
        <v>1699</v>
      </c>
      <c r="U1" s="32" t="s">
        <v>1700</v>
      </c>
      <c r="V1" s="32" t="s">
        <v>1661</v>
      </c>
      <c r="W1" s="32" t="s">
        <v>1701</v>
      </c>
      <c r="X1" s="32" t="s">
        <v>1477</v>
      </c>
      <c r="Y1" s="32" t="s">
        <v>1478</v>
      </c>
      <c r="Z1" s="32" t="s">
        <v>1479</v>
      </c>
      <c r="AA1" s="32" t="s">
        <v>1702</v>
      </c>
      <c r="AB1" s="32" t="s">
        <v>1480</v>
      </c>
      <c r="AC1" s="32" t="s">
        <v>1662</v>
      </c>
      <c r="AD1" s="32" t="s">
        <v>1481</v>
      </c>
      <c r="AE1" s="32" t="s">
        <v>1663</v>
      </c>
      <c r="AF1" s="32" t="s">
        <v>1482</v>
      </c>
      <c r="AG1" s="35" t="s">
        <v>1483</v>
      </c>
      <c r="AH1" s="32" t="s">
        <v>1484</v>
      </c>
      <c r="AI1" s="32" t="s">
        <v>1664</v>
      </c>
      <c r="AJ1" s="32" t="s">
        <v>1485</v>
      </c>
      <c r="AK1" s="32" t="s">
        <v>1486</v>
      </c>
      <c r="AL1" s="35" t="s">
        <v>1703</v>
      </c>
      <c r="AM1" s="35" t="s">
        <v>1704</v>
      </c>
      <c r="AN1" s="35" t="s">
        <v>1705</v>
      </c>
      <c r="AO1" s="35" t="s">
        <v>1706</v>
      </c>
      <c r="AP1" s="35" t="s">
        <v>1707</v>
      </c>
      <c r="AQ1" s="35" t="s">
        <v>1708</v>
      </c>
      <c r="AR1" s="35" t="s">
        <v>1709</v>
      </c>
      <c r="AS1" s="32" t="s">
        <v>1487</v>
      </c>
      <c r="AT1" s="32" t="s">
        <v>1488</v>
      </c>
      <c r="AU1" s="32" t="s">
        <v>1489</v>
      </c>
      <c r="AV1" s="32" t="s">
        <v>1490</v>
      </c>
      <c r="AW1" s="32" t="s">
        <v>1491</v>
      </c>
      <c r="AX1" s="32" t="s">
        <v>1492</v>
      </c>
      <c r="AY1" s="32" t="s">
        <v>1493</v>
      </c>
      <c r="AZ1" s="32" t="s">
        <v>1494</v>
      </c>
      <c r="BA1" s="32" t="s">
        <v>1495</v>
      </c>
      <c r="BB1" s="32" t="s">
        <v>1496</v>
      </c>
      <c r="BC1" s="32" t="s">
        <v>1497</v>
      </c>
      <c r="BD1" s="32" t="s">
        <v>1498</v>
      </c>
      <c r="BE1" s="32" t="s">
        <v>1499</v>
      </c>
      <c r="BF1" s="32" t="s">
        <v>1500</v>
      </c>
      <c r="BG1" s="32" t="s">
        <v>1501</v>
      </c>
      <c r="BH1" s="32" t="s">
        <v>1502</v>
      </c>
      <c r="BI1" s="32" t="s">
        <v>1503</v>
      </c>
      <c r="BJ1" s="32" t="s">
        <v>1504</v>
      </c>
      <c r="BK1" s="32" t="s">
        <v>1505</v>
      </c>
      <c r="BL1" s="32" t="s">
        <v>1506</v>
      </c>
      <c r="BM1" s="32" t="s">
        <v>1507</v>
      </c>
      <c r="BN1" s="32" t="s">
        <v>1508</v>
      </c>
      <c r="BO1" s="32" t="s">
        <v>1509</v>
      </c>
      <c r="BP1" s="32" t="s">
        <v>1710</v>
      </c>
      <c r="BQ1" s="32" t="s">
        <v>1510</v>
      </c>
      <c r="BR1" s="32" t="s">
        <v>1511</v>
      </c>
      <c r="BS1" s="32" t="s">
        <v>1512</v>
      </c>
      <c r="BT1" s="32" t="s">
        <v>1513</v>
      </c>
      <c r="BU1" s="32" t="s">
        <v>1514</v>
      </c>
      <c r="BV1" s="32" t="s">
        <v>1515</v>
      </c>
      <c r="BW1" s="32" t="s">
        <v>1516</v>
      </c>
      <c r="BX1" s="32" t="s">
        <v>1517</v>
      </c>
      <c r="BY1" s="32" t="s">
        <v>1518</v>
      </c>
      <c r="BZ1" s="32" t="s">
        <v>1519</v>
      </c>
      <c r="CA1" s="32" t="s">
        <v>1520</v>
      </c>
      <c r="CB1" s="32" t="s">
        <v>1665</v>
      </c>
      <c r="CC1" s="32" t="s">
        <v>1666</v>
      </c>
      <c r="CD1" s="32" t="s">
        <v>1667</v>
      </c>
      <c r="CE1" s="32" t="s">
        <v>1668</v>
      </c>
      <c r="CF1" s="32" t="s">
        <v>1669</v>
      </c>
      <c r="CG1" s="32" t="s">
        <v>1670</v>
      </c>
      <c r="CH1" s="32" t="s">
        <v>1671</v>
      </c>
      <c r="CI1" s="32" t="s">
        <v>1521</v>
      </c>
      <c r="CJ1" s="32" t="s">
        <v>1718</v>
      </c>
      <c r="CK1" s="32" t="s">
        <v>1522</v>
      </c>
      <c r="CL1" s="32" t="s">
        <v>1523</v>
      </c>
      <c r="CM1" s="32" t="s">
        <v>1524</v>
      </c>
      <c r="CN1" s="32" t="s">
        <v>1525</v>
      </c>
      <c r="CO1" s="32" t="s">
        <v>1526</v>
      </c>
      <c r="CP1" s="32" t="s">
        <v>1527</v>
      </c>
      <c r="CQ1" s="32" t="s">
        <v>1528</v>
      </c>
      <c r="CR1" s="32" t="s">
        <v>1529</v>
      </c>
      <c r="CS1" s="32" t="s">
        <v>1672</v>
      </c>
      <c r="CT1" s="32" t="s">
        <v>1673</v>
      </c>
      <c r="CU1" s="32" t="s">
        <v>1674</v>
      </c>
      <c r="CV1" s="35" t="s">
        <v>1675</v>
      </c>
      <c r="CW1" s="32" t="s">
        <v>1676</v>
      </c>
      <c r="CX1" s="32" t="s">
        <v>1711</v>
      </c>
      <c r="CY1" s="35" t="s">
        <v>1677</v>
      </c>
      <c r="CZ1" s="35" t="s">
        <v>1678</v>
      </c>
      <c r="DA1" s="32" t="s">
        <v>1530</v>
      </c>
      <c r="DB1" s="32" t="s">
        <v>1531</v>
      </c>
      <c r="DC1" s="32" t="s">
        <v>1532</v>
      </c>
      <c r="DD1" s="32" t="s">
        <v>1533</v>
      </c>
      <c r="DE1" s="32" t="s">
        <v>1534</v>
      </c>
      <c r="DF1" s="32" t="s">
        <v>1535</v>
      </c>
    </row>
    <row r="2" spans="1:110" s="31" customFormat="1" ht="71" customHeight="1">
      <c r="A2" s="32" t="s">
        <v>0</v>
      </c>
      <c r="B2" s="32" t="s">
        <v>1</v>
      </c>
      <c r="C2" s="32" t="s">
        <v>2</v>
      </c>
      <c r="D2" s="32" t="s">
        <v>3</v>
      </c>
      <c r="E2" s="32" t="s">
        <v>4</v>
      </c>
      <c r="F2" s="37" t="s">
        <v>5</v>
      </c>
      <c r="G2" s="32" t="s">
        <v>6</v>
      </c>
      <c r="H2" s="32" t="s">
        <v>7</v>
      </c>
      <c r="I2" s="32" t="s">
        <v>1681</v>
      </c>
      <c r="J2" s="32" t="s">
        <v>8</v>
      </c>
      <c r="K2" s="32" t="s">
        <v>9</v>
      </c>
      <c r="L2" s="32" t="s">
        <v>1682</v>
      </c>
      <c r="M2" s="32" t="s">
        <v>1536</v>
      </c>
      <c r="N2" s="32" t="s">
        <v>1537</v>
      </c>
      <c r="O2" s="32" t="s">
        <v>1683</v>
      </c>
      <c r="P2" s="32" t="s">
        <v>1538</v>
      </c>
      <c r="Q2" s="32" t="s">
        <v>1539</v>
      </c>
      <c r="R2" s="32" t="s">
        <v>1684</v>
      </c>
      <c r="S2" s="32" t="s">
        <v>1540</v>
      </c>
      <c r="T2" s="32" t="s">
        <v>1541</v>
      </c>
      <c r="U2" s="32" t="s">
        <v>1685</v>
      </c>
      <c r="V2" s="32" t="s">
        <v>1542</v>
      </c>
      <c r="W2" s="32" t="s">
        <v>1543</v>
      </c>
      <c r="X2" s="32" t="s">
        <v>10</v>
      </c>
      <c r="Y2" s="32" t="s">
        <v>11</v>
      </c>
      <c r="Z2" s="32" t="s">
        <v>12</v>
      </c>
      <c r="AA2" s="32" t="s">
        <v>13</v>
      </c>
      <c r="AB2" s="32" t="s">
        <v>14</v>
      </c>
      <c r="AC2" s="32" t="s">
        <v>15</v>
      </c>
      <c r="AD2" s="32" t="s">
        <v>16</v>
      </c>
      <c r="AE2" s="32" t="s">
        <v>17</v>
      </c>
      <c r="AF2" s="32" t="s">
        <v>18</v>
      </c>
      <c r="AG2" s="32" t="s">
        <v>19</v>
      </c>
      <c r="AH2" s="32" t="s">
        <v>20</v>
      </c>
      <c r="AI2" s="32" t="s">
        <v>21</v>
      </c>
      <c r="AJ2" s="32" t="s">
        <v>22</v>
      </c>
      <c r="AK2" s="32" t="s">
        <v>23</v>
      </c>
      <c r="AL2" s="32" t="s">
        <v>1686</v>
      </c>
      <c r="AM2" s="32" t="s">
        <v>1687</v>
      </c>
      <c r="AN2" s="32" t="s">
        <v>1688</v>
      </c>
      <c r="AO2" s="32" t="s">
        <v>1689</v>
      </c>
      <c r="AP2" s="32" t="s">
        <v>1690</v>
      </c>
      <c r="AQ2" s="32" t="s">
        <v>1691</v>
      </c>
      <c r="AR2" s="32" t="s">
        <v>1692</v>
      </c>
      <c r="AS2" s="32" t="s">
        <v>24</v>
      </c>
      <c r="AT2" s="32" t="s">
        <v>25</v>
      </c>
      <c r="AU2" s="32" t="s">
        <v>26</v>
      </c>
      <c r="AV2" s="32" t="s">
        <v>27</v>
      </c>
      <c r="AW2" s="32" t="s">
        <v>28</v>
      </c>
      <c r="AX2" s="32" t="s">
        <v>29</v>
      </c>
      <c r="AY2" s="32" t="s">
        <v>30</v>
      </c>
      <c r="AZ2" s="32" t="s">
        <v>31</v>
      </c>
      <c r="BA2" s="32" t="s">
        <v>32</v>
      </c>
      <c r="BB2" s="32" t="s">
        <v>33</v>
      </c>
      <c r="BC2" s="32" t="s">
        <v>34</v>
      </c>
      <c r="BD2" s="32" t="s">
        <v>35</v>
      </c>
      <c r="BE2" s="32" t="s">
        <v>36</v>
      </c>
      <c r="BF2" s="32" t="s">
        <v>37</v>
      </c>
      <c r="BG2" s="32" t="s">
        <v>38</v>
      </c>
      <c r="BH2" s="32" t="s">
        <v>39</v>
      </c>
      <c r="BI2" s="32" t="s">
        <v>40</v>
      </c>
      <c r="BJ2" s="32" t="s">
        <v>41</v>
      </c>
      <c r="BK2" s="32" t="s">
        <v>42</v>
      </c>
      <c r="BL2" s="32" t="s">
        <v>43</v>
      </c>
      <c r="BM2" s="32" t="s">
        <v>44</v>
      </c>
      <c r="BN2" s="32" t="s">
        <v>45</v>
      </c>
      <c r="BO2" s="32" t="s">
        <v>46</v>
      </c>
      <c r="BP2" s="32" t="s">
        <v>47</v>
      </c>
      <c r="BQ2" s="32" t="s">
        <v>48</v>
      </c>
      <c r="BR2" s="32" t="s">
        <v>49</v>
      </c>
      <c r="BS2" s="32" t="s">
        <v>50</v>
      </c>
      <c r="BT2" s="32" t="s">
        <v>51</v>
      </c>
      <c r="BU2" s="32" t="s">
        <v>52</v>
      </c>
      <c r="BV2" s="32" t="s">
        <v>53</v>
      </c>
      <c r="BW2" s="32" t="s">
        <v>54</v>
      </c>
      <c r="BX2" s="32" t="s">
        <v>55</v>
      </c>
      <c r="BY2" s="32" t="s">
        <v>56</v>
      </c>
      <c r="BZ2" s="32" t="s">
        <v>57</v>
      </c>
      <c r="CA2" s="32" t="s">
        <v>58</v>
      </c>
      <c r="CB2" s="32" t="s">
        <v>59</v>
      </c>
      <c r="CC2" s="32" t="s">
        <v>60</v>
      </c>
      <c r="CD2" s="32" t="s">
        <v>61</v>
      </c>
      <c r="CE2" s="32" t="s">
        <v>62</v>
      </c>
      <c r="CF2" s="32" t="s">
        <v>63</v>
      </c>
      <c r="CG2" s="32" t="s">
        <v>64</v>
      </c>
      <c r="CH2" s="32" t="s">
        <v>65</v>
      </c>
      <c r="CI2" s="32" t="s">
        <v>66</v>
      </c>
      <c r="CJ2" s="32" t="s">
        <v>67</v>
      </c>
      <c r="CK2" s="32" t="s">
        <v>68</v>
      </c>
      <c r="CL2" s="38" t="s">
        <v>69</v>
      </c>
      <c r="CM2" s="38" t="s">
        <v>70</v>
      </c>
      <c r="CN2" s="38" t="s">
        <v>71</v>
      </c>
      <c r="CO2" s="38" t="s">
        <v>72</v>
      </c>
      <c r="CP2" s="38" t="s">
        <v>73</v>
      </c>
      <c r="CQ2" s="38" t="s">
        <v>74</v>
      </c>
      <c r="CR2" s="38" t="s">
        <v>75</v>
      </c>
      <c r="CS2" s="38" t="s">
        <v>76</v>
      </c>
      <c r="CT2" s="38" t="s">
        <v>77</v>
      </c>
      <c r="CU2" s="38" t="s">
        <v>78</v>
      </c>
      <c r="CV2" s="38" t="s">
        <v>79</v>
      </c>
      <c r="CW2" s="38" t="s">
        <v>80</v>
      </c>
      <c r="CX2" s="38" t="s">
        <v>81</v>
      </c>
      <c r="CY2" s="38" t="s">
        <v>82</v>
      </c>
      <c r="CZ2" s="38" t="s">
        <v>83</v>
      </c>
      <c r="DA2" s="38" t="s">
        <v>84</v>
      </c>
      <c r="DB2" s="38" t="s">
        <v>85</v>
      </c>
      <c r="DC2" s="38" t="s">
        <v>86</v>
      </c>
      <c r="DD2" s="38" t="s">
        <v>87</v>
      </c>
      <c r="DE2" s="38" t="s">
        <v>88</v>
      </c>
      <c r="DF2" s="38" t="s">
        <v>89</v>
      </c>
    </row>
    <row r="3" spans="1:110" ht="14">
      <c r="A3" s="27" t="s">
        <v>90</v>
      </c>
      <c r="B3" s="27" t="s">
        <v>1717</v>
      </c>
      <c r="C3" s="27" t="s">
        <v>92</v>
      </c>
      <c r="D3" s="27" t="s">
        <v>93</v>
      </c>
      <c r="E3" s="27" t="s">
        <v>93</v>
      </c>
      <c r="F3" s="39">
        <v>18753456497.82</v>
      </c>
      <c r="G3" s="39">
        <v>35174083</v>
      </c>
      <c r="H3" s="40">
        <v>2017</v>
      </c>
      <c r="I3" s="39">
        <v>4148162</v>
      </c>
      <c r="J3" s="27" t="s">
        <v>94</v>
      </c>
      <c r="K3" s="41">
        <v>0.3231023079481638</v>
      </c>
      <c r="L3" s="39">
        <v>3268836.0601957585</v>
      </c>
      <c r="M3" s="39">
        <v>40292816</v>
      </c>
      <c r="N3" s="41">
        <v>0.22226580622741873</v>
      </c>
      <c r="O3" s="39">
        <v>4125552.8408497036</v>
      </c>
      <c r="P3" s="39">
        <v>49371851</v>
      </c>
      <c r="Q3" s="41">
        <v>0.22893378041424131</v>
      </c>
      <c r="R3" s="39">
        <v>5922887.793723328</v>
      </c>
      <c r="S3" s="39">
        <v>62637433</v>
      </c>
      <c r="T3" s="41">
        <v>0.25906377494456612</v>
      </c>
      <c r="U3" s="39">
        <v>8015087.8655035775</v>
      </c>
      <c r="V3" s="39">
        <v>76238717</v>
      </c>
      <c r="W3" s="41">
        <v>0.28803140584063214</v>
      </c>
      <c r="X3" s="42">
        <v>0.52170000000000005</v>
      </c>
      <c r="Y3" s="42">
        <v>1.2800000000000001E-2</v>
      </c>
      <c r="Z3" s="42">
        <v>4.4000000000000003E-3</v>
      </c>
      <c r="AA3" s="42">
        <v>4.6199999999999998E-2</v>
      </c>
      <c r="AB3" s="42">
        <v>0.11749999999999999</v>
      </c>
      <c r="AC3" s="42">
        <v>1.7999999999999999E-2</v>
      </c>
      <c r="AD3" s="42">
        <v>2.0799999999999999E-2</v>
      </c>
      <c r="AE3" s="42">
        <v>2.0799999999999999E-2</v>
      </c>
      <c r="AF3" s="42">
        <v>5.4399999999999997E-2</v>
      </c>
      <c r="AG3" s="42"/>
      <c r="AH3" s="42">
        <v>6.1000000000000004E-3</v>
      </c>
      <c r="AI3" s="42">
        <v>6.3600000000000004E-2</v>
      </c>
      <c r="AJ3" s="42">
        <v>0.1137</v>
      </c>
      <c r="AK3" s="39"/>
      <c r="AL3" s="39"/>
      <c r="AM3" s="39"/>
      <c r="AN3" s="39">
        <v>32000</v>
      </c>
      <c r="AO3" s="39">
        <v>5100</v>
      </c>
      <c r="AP3" s="39">
        <v>137500</v>
      </c>
      <c r="AQ3" s="39"/>
      <c r="AR3" s="39">
        <v>9855</v>
      </c>
      <c r="AS3" s="42"/>
      <c r="AT3" s="42"/>
      <c r="AU3" s="42"/>
      <c r="AV3" s="42"/>
      <c r="AW3" s="42"/>
      <c r="AX3" s="42"/>
      <c r="AY3" s="42"/>
      <c r="AZ3" s="42">
        <v>0.59199999999999997</v>
      </c>
      <c r="BA3" s="42"/>
      <c r="BB3" s="42"/>
      <c r="BC3" s="42"/>
      <c r="BD3" s="42"/>
      <c r="BE3" s="42"/>
      <c r="BF3" s="42"/>
      <c r="BG3" s="42">
        <v>0.23100000000000001</v>
      </c>
      <c r="BH3" s="42"/>
      <c r="BI3" s="42">
        <v>6.5000000000000002E-2</v>
      </c>
      <c r="BJ3" s="42">
        <v>0.189</v>
      </c>
      <c r="BK3" s="42">
        <v>7.6999999999999999E-2</v>
      </c>
      <c r="BL3" s="42"/>
      <c r="BM3" s="42"/>
      <c r="BN3" s="42">
        <v>3.1E-2</v>
      </c>
      <c r="BO3" s="42">
        <v>0.40799999999999997</v>
      </c>
      <c r="BP3" s="42"/>
      <c r="BQ3" s="42">
        <v>6.9000000000000006E-2</v>
      </c>
      <c r="BR3" s="42">
        <v>0.73499999999999999</v>
      </c>
      <c r="BS3" s="42">
        <v>9.8000000000000004E-2</v>
      </c>
      <c r="BT3" s="42">
        <v>9.8000000000000004E-2</v>
      </c>
      <c r="BU3" s="42"/>
      <c r="BV3" s="42"/>
      <c r="BW3" s="39"/>
      <c r="BX3" s="39"/>
      <c r="BY3" s="39">
        <v>2500</v>
      </c>
      <c r="BZ3" s="39"/>
      <c r="CA3" s="39"/>
      <c r="CB3" s="27" t="s">
        <v>95</v>
      </c>
      <c r="CC3" s="27" t="s">
        <v>96</v>
      </c>
      <c r="CD3" s="27" t="s">
        <v>96</v>
      </c>
      <c r="CE3" s="27" t="s">
        <v>97</v>
      </c>
      <c r="CF3" s="27" t="s">
        <v>96</v>
      </c>
      <c r="CG3" s="27" t="s">
        <v>96</v>
      </c>
      <c r="CH3" s="27" t="s">
        <v>95</v>
      </c>
      <c r="CI3" s="27"/>
      <c r="CJ3" s="27" t="s">
        <v>1626</v>
      </c>
      <c r="CK3" s="27"/>
      <c r="CL3" s="27" t="s">
        <v>96</v>
      </c>
      <c r="CM3" s="27" t="s">
        <v>98</v>
      </c>
      <c r="CN3" s="27" t="s">
        <v>95</v>
      </c>
      <c r="CO3" s="27"/>
      <c r="CP3" s="27" t="s">
        <v>95</v>
      </c>
      <c r="CQ3" s="27"/>
      <c r="CR3" s="43"/>
      <c r="CS3" s="43"/>
      <c r="CT3" s="43"/>
      <c r="CU3" s="43"/>
      <c r="CV3" s="43"/>
      <c r="CW3" s="43"/>
      <c r="CX3" s="43"/>
      <c r="CY3" s="43"/>
      <c r="CZ3" s="43"/>
      <c r="DA3" s="43"/>
      <c r="DB3" s="43"/>
      <c r="DC3" s="43"/>
      <c r="DD3" s="43"/>
      <c r="DE3" s="43"/>
      <c r="DF3" s="43"/>
    </row>
    <row r="4" spans="1:110" ht="15" customHeight="1">
      <c r="A4" s="27" t="s">
        <v>99</v>
      </c>
      <c r="B4" s="27" t="s">
        <v>1713</v>
      </c>
      <c r="C4" s="27" t="s">
        <v>101</v>
      </c>
      <c r="D4" s="27" t="s">
        <v>1650</v>
      </c>
      <c r="E4" s="27" t="s">
        <v>1650</v>
      </c>
      <c r="F4" s="39">
        <v>18032009220</v>
      </c>
      <c r="G4" s="39">
        <v>2865704</v>
      </c>
      <c r="H4" s="40">
        <v>2021</v>
      </c>
      <c r="I4" s="39">
        <v>754094</v>
      </c>
      <c r="J4" s="27" t="s">
        <v>102</v>
      </c>
      <c r="K4" s="41">
        <v>0.72094360021276083</v>
      </c>
      <c r="L4" s="39">
        <v>768006.44780372991</v>
      </c>
      <c r="M4" s="39">
        <v>2833567</v>
      </c>
      <c r="N4" s="41">
        <v>0.74257190821914365</v>
      </c>
      <c r="O4" s="39">
        <v>870314.82687260536</v>
      </c>
      <c r="P4" s="39">
        <v>2682047</v>
      </c>
      <c r="Q4" s="41">
        <v>0.88903146858075843</v>
      </c>
      <c r="R4" s="39">
        <v>929617.31227126601</v>
      </c>
      <c r="S4" s="39">
        <v>2472981</v>
      </c>
      <c r="T4" s="41">
        <v>1.0298893303056813</v>
      </c>
      <c r="U4" s="39">
        <v>931066.49230265839</v>
      </c>
      <c r="V4" s="39">
        <v>2251369</v>
      </c>
      <c r="W4" s="41">
        <v>1.1330293266892562</v>
      </c>
      <c r="X4" s="42">
        <v>0.58099999999999996</v>
      </c>
      <c r="Y4" s="42">
        <v>4.9000000000000002E-2</v>
      </c>
      <c r="Z4" s="42">
        <v>2.1999999999999999E-2</v>
      </c>
      <c r="AA4" s="42">
        <v>8.8999999999999996E-2</v>
      </c>
      <c r="AB4" s="42">
        <v>9.1999999999999998E-2</v>
      </c>
      <c r="AC4" s="42"/>
      <c r="AD4" s="42">
        <v>3.5999999999999997E-2</v>
      </c>
      <c r="AE4" s="42"/>
      <c r="AF4" s="42">
        <v>4.4999999999999998E-2</v>
      </c>
      <c r="AG4" s="42">
        <v>3.0000000000000001E-3</v>
      </c>
      <c r="AH4" s="42">
        <v>4.0000000000000001E-3</v>
      </c>
      <c r="AI4" s="42"/>
      <c r="AJ4" s="42">
        <v>7.9000000000000001E-2</v>
      </c>
      <c r="AK4" s="39">
        <v>154934</v>
      </c>
      <c r="AL4" s="39"/>
      <c r="AM4" s="39"/>
      <c r="AN4" s="39">
        <v>24000</v>
      </c>
      <c r="AO4" s="39"/>
      <c r="AP4" s="39"/>
      <c r="AQ4" s="39"/>
      <c r="AR4" s="39"/>
      <c r="AS4" s="42"/>
      <c r="AT4" s="42"/>
      <c r="AU4" s="42"/>
      <c r="AV4" s="42"/>
      <c r="AW4" s="42"/>
      <c r="AX4" s="42"/>
      <c r="AY4" s="42">
        <v>0.89200000000000002</v>
      </c>
      <c r="AZ4" s="42"/>
      <c r="BA4" s="42"/>
      <c r="BB4" s="42"/>
      <c r="BC4" s="42"/>
      <c r="BD4" s="42">
        <v>8.6705525659241695E-4</v>
      </c>
      <c r="BE4" s="42"/>
      <c r="BF4" s="42"/>
      <c r="BG4" s="42">
        <v>0.70286184173724298</v>
      </c>
      <c r="BH4" s="42"/>
      <c r="BI4" s="42"/>
      <c r="BJ4" s="42">
        <v>0.17333721177405101</v>
      </c>
      <c r="BK4" s="42">
        <v>4.0695658011031199E-2</v>
      </c>
      <c r="BL4" s="42"/>
      <c r="BM4" s="42"/>
      <c r="BN4" s="42"/>
      <c r="BO4" s="42">
        <v>8.2238233221082299E-2</v>
      </c>
      <c r="BP4" s="42"/>
      <c r="BQ4" s="42"/>
      <c r="BR4" s="42"/>
      <c r="BS4" s="42"/>
      <c r="BT4" s="42"/>
      <c r="BU4" s="42"/>
      <c r="BV4" s="42"/>
      <c r="BW4" s="39">
        <v>4293</v>
      </c>
      <c r="BX4" s="39"/>
      <c r="BY4" s="39"/>
      <c r="BZ4" s="39"/>
      <c r="CA4" s="39"/>
      <c r="CB4" s="27" t="s">
        <v>95</v>
      </c>
      <c r="CC4" s="27" t="s">
        <v>96</v>
      </c>
      <c r="CD4" s="27" t="s">
        <v>96</v>
      </c>
      <c r="CE4" s="27" t="s">
        <v>103</v>
      </c>
      <c r="CF4" s="27" t="s">
        <v>96</v>
      </c>
      <c r="CG4" s="27" t="s">
        <v>96</v>
      </c>
      <c r="CH4" s="27" t="s">
        <v>95</v>
      </c>
      <c r="CI4" s="27" t="s">
        <v>104</v>
      </c>
      <c r="CJ4" s="27" t="s">
        <v>105</v>
      </c>
      <c r="CK4" s="27"/>
      <c r="CL4" s="27"/>
      <c r="CM4" s="27"/>
      <c r="CN4" s="27" t="s">
        <v>96</v>
      </c>
      <c r="CO4" s="27"/>
      <c r="CP4" s="27"/>
      <c r="CQ4" s="27"/>
      <c r="CR4" s="43" t="s">
        <v>96</v>
      </c>
      <c r="CS4" s="43" t="s">
        <v>96</v>
      </c>
      <c r="CT4" s="43"/>
      <c r="CU4" s="43"/>
      <c r="CV4" s="43" t="s">
        <v>96</v>
      </c>
      <c r="CW4" s="43" t="s">
        <v>96</v>
      </c>
      <c r="CX4" s="43" t="s">
        <v>96</v>
      </c>
      <c r="CY4" s="43" t="s">
        <v>1723</v>
      </c>
      <c r="CZ4" s="43" t="s">
        <v>109</v>
      </c>
      <c r="DA4" s="43" t="s">
        <v>1470</v>
      </c>
      <c r="DB4" s="43"/>
      <c r="DC4" s="43"/>
      <c r="DD4" s="43"/>
      <c r="DE4" s="43"/>
      <c r="DF4" s="43"/>
    </row>
    <row r="5" spans="1:110" ht="14">
      <c r="A5" s="27" t="s">
        <v>111</v>
      </c>
      <c r="B5" t="s">
        <v>1715</v>
      </c>
      <c r="C5" s="27" t="s">
        <v>113</v>
      </c>
      <c r="D5" s="27" t="s">
        <v>1651</v>
      </c>
      <c r="E5" s="27" t="s">
        <v>1651</v>
      </c>
      <c r="F5" s="39">
        <v>164873415325.20001</v>
      </c>
      <c r="G5" s="39">
        <v>43685420</v>
      </c>
      <c r="H5" s="40">
        <v>2020</v>
      </c>
      <c r="I5" s="39">
        <v>13500000</v>
      </c>
      <c r="J5" s="27" t="s">
        <v>94</v>
      </c>
      <c r="K5" s="41">
        <v>0.84665092769768535</v>
      </c>
      <c r="L5" s="39">
        <v>14286747.435989229</v>
      </c>
      <c r="M5" s="39">
        <v>45123436</v>
      </c>
      <c r="N5" s="41">
        <v>0.86743779434772572</v>
      </c>
      <c r="O5" s="39">
        <v>16600805.669618854</v>
      </c>
      <c r="P5" s="39">
        <v>49908964</v>
      </c>
      <c r="Q5" s="41">
        <v>0.91129239566701448</v>
      </c>
      <c r="R5" s="39">
        <v>19433866.934240948</v>
      </c>
      <c r="S5" s="39">
        <v>54636243</v>
      </c>
      <c r="T5" s="41">
        <v>0.9745082774581505</v>
      </c>
      <c r="U5" s="39">
        <v>23020602.532124929</v>
      </c>
      <c r="V5" s="39">
        <v>59354849</v>
      </c>
      <c r="W5" s="41">
        <v>1.0625946318830657</v>
      </c>
      <c r="X5" s="42">
        <v>0.53610000000000002</v>
      </c>
      <c r="Y5" s="42">
        <v>1.04E-2</v>
      </c>
      <c r="Z5" s="42">
        <v>1.72E-2</v>
      </c>
      <c r="AA5" s="42">
        <v>6.7599999999999993E-2</v>
      </c>
      <c r="AB5" s="42">
        <v>0.15310000000000001</v>
      </c>
      <c r="AC5" s="42"/>
      <c r="AD5" s="42"/>
      <c r="AE5" s="42"/>
      <c r="AF5" s="42">
        <v>5.3900000000000003E-2</v>
      </c>
      <c r="AG5" s="42"/>
      <c r="AH5" s="42">
        <v>1.0699999999999999E-2</v>
      </c>
      <c r="AI5" s="42">
        <v>0.1176</v>
      </c>
      <c r="AJ5" s="42">
        <v>3.3399999999999999E-2</v>
      </c>
      <c r="AK5" s="39">
        <v>1208643</v>
      </c>
      <c r="AL5" s="39"/>
      <c r="AM5" s="39">
        <v>11000000</v>
      </c>
      <c r="AN5" s="39">
        <v>333000</v>
      </c>
      <c r="AO5" s="39">
        <v>330000</v>
      </c>
      <c r="AP5" s="39">
        <v>2550000</v>
      </c>
      <c r="AQ5" s="39"/>
      <c r="AR5" s="39">
        <v>30000</v>
      </c>
      <c r="AS5" s="42">
        <v>0.44700000000000001</v>
      </c>
      <c r="AT5" s="42">
        <v>0.55300000000000005</v>
      </c>
      <c r="AU5" s="42"/>
      <c r="AV5" s="42">
        <v>0.67</v>
      </c>
      <c r="AW5" s="42"/>
      <c r="AX5" s="42"/>
      <c r="AY5" s="42">
        <v>0.85</v>
      </c>
      <c r="AZ5" s="42"/>
      <c r="BA5" s="42"/>
      <c r="BB5" s="42">
        <v>0.87</v>
      </c>
      <c r="BC5" s="42"/>
      <c r="BD5" s="42">
        <v>0.6</v>
      </c>
      <c r="BE5" s="42">
        <v>0.32</v>
      </c>
      <c r="BF5" s="42"/>
      <c r="BG5" s="42"/>
      <c r="BH5" s="42"/>
      <c r="BI5" s="42">
        <v>0.01</v>
      </c>
      <c r="BJ5" s="42">
        <v>7.0000000000000007E-2</v>
      </c>
      <c r="BK5" s="42"/>
      <c r="BL5" s="42"/>
      <c r="BM5" s="42"/>
      <c r="BN5" s="42"/>
      <c r="BO5" s="42"/>
      <c r="BP5" s="42"/>
      <c r="BQ5" s="42"/>
      <c r="BR5" s="42"/>
      <c r="BS5" s="42"/>
      <c r="BT5" s="42"/>
      <c r="BU5" s="42"/>
      <c r="BV5" s="42"/>
      <c r="BW5" s="39">
        <v>4813</v>
      </c>
      <c r="BX5" s="39"/>
      <c r="BY5" s="39"/>
      <c r="BZ5" s="39"/>
      <c r="CA5" s="39"/>
      <c r="CB5" s="27" t="s">
        <v>96</v>
      </c>
      <c r="CC5" s="27" t="s">
        <v>96</v>
      </c>
      <c r="CD5" s="27" t="s">
        <v>96</v>
      </c>
      <c r="CE5" s="27" t="s">
        <v>114</v>
      </c>
      <c r="CF5" s="27" t="s">
        <v>96</v>
      </c>
      <c r="CG5" s="27" t="s">
        <v>96</v>
      </c>
      <c r="CH5" s="27" t="s">
        <v>96</v>
      </c>
      <c r="CI5" s="27" t="s">
        <v>115</v>
      </c>
      <c r="CJ5" s="27" t="s">
        <v>1619</v>
      </c>
      <c r="CK5" s="27"/>
      <c r="CL5" s="27" t="s">
        <v>96</v>
      </c>
      <c r="CM5" s="27" t="s">
        <v>116</v>
      </c>
      <c r="CN5" s="27" t="s">
        <v>96</v>
      </c>
      <c r="CO5" s="27"/>
      <c r="CP5" s="27" t="s">
        <v>96</v>
      </c>
      <c r="CQ5" s="27" t="s">
        <v>117</v>
      </c>
      <c r="CR5" s="43" t="s">
        <v>96</v>
      </c>
      <c r="CS5" s="43" t="s">
        <v>96</v>
      </c>
      <c r="CT5" s="43"/>
      <c r="CU5" s="43"/>
      <c r="CV5" s="43"/>
      <c r="CW5" s="43"/>
      <c r="CX5" s="43"/>
      <c r="CY5" s="43"/>
      <c r="CZ5" s="43" t="s">
        <v>118</v>
      </c>
      <c r="DA5" s="43" t="s">
        <v>1470</v>
      </c>
      <c r="DB5" s="43"/>
      <c r="DC5" s="43"/>
      <c r="DD5" s="43"/>
      <c r="DE5" s="43"/>
      <c r="DF5" s="43"/>
    </row>
    <row r="6" spans="1:110" ht="14">
      <c r="A6" s="27" t="s">
        <v>119</v>
      </c>
      <c r="B6" s="47" t="s">
        <v>1712</v>
      </c>
      <c r="C6" s="27" t="s">
        <v>121</v>
      </c>
      <c r="D6" s="27" t="s">
        <v>1650</v>
      </c>
      <c r="E6" s="27" t="s">
        <v>122</v>
      </c>
      <c r="F6" s="39">
        <v>647000000</v>
      </c>
      <c r="G6" s="39">
        <v>50563</v>
      </c>
      <c r="H6" s="40">
        <v>2019</v>
      </c>
      <c r="I6" s="39">
        <v>17348.165299999997</v>
      </c>
      <c r="J6" s="27" t="s">
        <v>94</v>
      </c>
      <c r="K6" s="41">
        <v>0.94</v>
      </c>
      <c r="L6" s="39">
        <v>16894.23087107575</v>
      </c>
      <c r="M6" s="39">
        <v>48782</v>
      </c>
      <c r="N6" s="41">
        <v>0.94882464905794173</v>
      </c>
      <c r="O6" s="39">
        <v>15427.461033375097</v>
      </c>
      <c r="P6" s="39">
        <v>43203</v>
      </c>
      <c r="Q6" s="41">
        <v>0.9783352204660507</v>
      </c>
      <c r="R6" s="39">
        <v>14414.316507723357</v>
      </c>
      <c r="S6" s="39">
        <v>39512</v>
      </c>
      <c r="T6" s="41">
        <v>0.99947555434682289</v>
      </c>
      <c r="U6" s="39">
        <v>13950.311780708013</v>
      </c>
      <c r="V6" s="39">
        <v>37623</v>
      </c>
      <c r="W6" s="41">
        <v>1.0158688109909462</v>
      </c>
      <c r="X6" s="42">
        <v>0.19700000000000001</v>
      </c>
      <c r="Y6" s="42">
        <v>3.4000000000000002E-2</v>
      </c>
      <c r="Z6" s="42">
        <v>7.9000000000000001E-2</v>
      </c>
      <c r="AA6" s="42">
        <v>0.26400000000000001</v>
      </c>
      <c r="AB6" s="42">
        <v>0.128</v>
      </c>
      <c r="AC6" s="42">
        <v>4.2000000000000003E-2</v>
      </c>
      <c r="AD6" s="42"/>
      <c r="AE6" s="42"/>
      <c r="AF6" s="42"/>
      <c r="AG6" s="42"/>
      <c r="AH6" s="42"/>
      <c r="AI6" s="42">
        <v>5.0999999999999997E-2</v>
      </c>
      <c r="AJ6" s="42">
        <v>0.20499999999999999</v>
      </c>
      <c r="AK6" s="39"/>
      <c r="AL6" s="39"/>
      <c r="AM6" s="39"/>
      <c r="AN6" s="39"/>
      <c r="AO6" s="39"/>
      <c r="AP6" s="39"/>
      <c r="AQ6" s="39"/>
      <c r="AR6" s="39"/>
      <c r="AS6" s="42"/>
      <c r="AT6" s="42"/>
      <c r="AU6" s="42"/>
      <c r="AV6" s="42"/>
      <c r="AW6" s="42"/>
      <c r="AX6" s="42"/>
      <c r="AY6" s="42">
        <v>1</v>
      </c>
      <c r="AZ6" s="42"/>
      <c r="BA6" s="42"/>
      <c r="BB6" s="42">
        <v>1</v>
      </c>
      <c r="BC6" s="42"/>
      <c r="BD6" s="42"/>
      <c r="BE6" s="42"/>
      <c r="BF6" s="42"/>
      <c r="BG6" s="42"/>
      <c r="BH6" s="42"/>
      <c r="BI6" s="42"/>
      <c r="BJ6" s="42"/>
      <c r="BK6" s="42"/>
      <c r="BL6" s="42"/>
      <c r="BM6" s="42"/>
      <c r="BN6" s="42"/>
      <c r="BO6" s="42"/>
      <c r="BP6" s="42"/>
      <c r="BQ6" s="42"/>
      <c r="BR6" s="42"/>
      <c r="BS6" s="42"/>
      <c r="BT6" s="42"/>
      <c r="BU6" s="42"/>
      <c r="BV6" s="42"/>
      <c r="BW6" s="39"/>
      <c r="BX6" s="39"/>
      <c r="BY6" s="39"/>
      <c r="BZ6" s="39"/>
      <c r="CA6" s="39"/>
      <c r="CB6" s="27" t="s">
        <v>95</v>
      </c>
      <c r="CC6" s="27" t="s">
        <v>96</v>
      </c>
      <c r="CD6" s="27" t="s">
        <v>95</v>
      </c>
      <c r="CE6" s="27"/>
      <c r="CF6" s="27" t="s">
        <v>96</v>
      </c>
      <c r="CG6" s="27" t="s">
        <v>95</v>
      </c>
      <c r="CH6" s="27" t="s">
        <v>95</v>
      </c>
      <c r="CI6" s="27"/>
      <c r="CJ6" s="27" t="s">
        <v>123</v>
      </c>
      <c r="CK6" s="27"/>
      <c r="CL6" s="27" t="s">
        <v>96</v>
      </c>
      <c r="CM6" s="27" t="s">
        <v>124</v>
      </c>
      <c r="CN6" s="27"/>
      <c r="CO6" s="27"/>
      <c r="CP6" s="27"/>
      <c r="CQ6" s="27"/>
      <c r="CR6" s="43"/>
      <c r="CS6" s="43"/>
      <c r="CT6" s="43"/>
      <c r="CU6" s="43"/>
      <c r="CV6" s="43"/>
      <c r="CW6" s="43"/>
      <c r="CX6" s="43"/>
      <c r="CY6" s="43"/>
      <c r="CZ6" s="43"/>
      <c r="DA6" s="43"/>
      <c r="DB6" s="43"/>
      <c r="DC6" s="43"/>
      <c r="DD6" s="43"/>
      <c r="DE6" s="43"/>
      <c r="DF6" s="43"/>
    </row>
    <row r="7" spans="1:110" ht="14">
      <c r="A7" s="27" t="s">
        <v>125</v>
      </c>
      <c r="B7" s="27" t="s">
        <v>1713</v>
      </c>
      <c r="C7" s="27" t="s">
        <v>126</v>
      </c>
      <c r="D7" s="27" t="s">
        <v>122</v>
      </c>
      <c r="E7" s="27" t="s">
        <v>122</v>
      </c>
      <c r="F7" s="39">
        <v>3324647529</v>
      </c>
      <c r="G7" s="39">
        <v>77611</v>
      </c>
      <c r="H7" s="40">
        <v>2021</v>
      </c>
      <c r="I7" s="39">
        <v>37950</v>
      </c>
      <c r="J7" s="27" t="s">
        <v>94</v>
      </c>
      <c r="K7" s="41">
        <v>1.3396632273740325</v>
      </c>
      <c r="L7" s="39">
        <v>39552.195623124295</v>
      </c>
      <c r="M7" s="39">
        <v>79116</v>
      </c>
      <c r="N7" s="41">
        <v>1.3696620126065731</v>
      </c>
      <c r="O7" s="39">
        <v>44066.89489919581</v>
      </c>
      <c r="P7" s="39">
        <v>85545</v>
      </c>
      <c r="Q7" s="41">
        <v>1.4113182407143181</v>
      </c>
      <c r="R7" s="39">
        <v>45007.016793289018</v>
      </c>
      <c r="S7" s="39">
        <v>85800</v>
      </c>
      <c r="T7" s="41">
        <v>1.4371433021454487</v>
      </c>
      <c r="U7" s="39">
        <v>43923.359010910201</v>
      </c>
      <c r="V7" s="39">
        <v>82414</v>
      </c>
      <c r="W7" s="41">
        <v>1.4601641698364922</v>
      </c>
      <c r="X7" s="42">
        <v>0.20799999999999999</v>
      </c>
      <c r="Y7" s="42">
        <v>0.08</v>
      </c>
      <c r="Z7" s="42"/>
      <c r="AA7" s="42">
        <v>0.247</v>
      </c>
      <c r="AB7" s="42"/>
      <c r="AC7" s="42"/>
      <c r="AD7" s="42">
        <v>0.09</v>
      </c>
      <c r="AE7" s="42"/>
      <c r="AF7" s="42">
        <v>7.0000000000000007E-2</v>
      </c>
      <c r="AG7" s="42">
        <v>7.0000000000000001E-3</v>
      </c>
      <c r="AH7" s="42"/>
      <c r="AI7" s="42"/>
      <c r="AJ7" s="42">
        <v>0.29699999999999999</v>
      </c>
      <c r="AK7" s="39">
        <v>6386.38</v>
      </c>
      <c r="AL7" s="39">
        <v>598.77</v>
      </c>
      <c r="AM7" s="39">
        <v>67778.720000000001</v>
      </c>
      <c r="AN7" s="39"/>
      <c r="AO7" s="39">
        <v>1195</v>
      </c>
      <c r="AP7" s="39"/>
      <c r="AQ7" s="39"/>
      <c r="AR7" s="39"/>
      <c r="AS7" s="42"/>
      <c r="AT7" s="42"/>
      <c r="AU7" s="42"/>
      <c r="AV7" s="42"/>
      <c r="AW7" s="42"/>
      <c r="AX7" s="42"/>
      <c r="AY7" s="42">
        <v>1</v>
      </c>
      <c r="AZ7" s="42"/>
      <c r="BA7" s="42"/>
      <c r="BB7" s="42"/>
      <c r="BC7" s="42"/>
      <c r="BD7" s="42"/>
      <c r="BE7" s="42"/>
      <c r="BF7" s="42"/>
      <c r="BG7" s="42">
        <v>2.5000000000000001E-2</v>
      </c>
      <c r="BH7" s="42"/>
      <c r="BI7" s="42"/>
      <c r="BJ7" s="42">
        <v>0.39900000000000002</v>
      </c>
      <c r="BK7" s="42">
        <v>0.57599999999999996</v>
      </c>
      <c r="BL7" s="42"/>
      <c r="BM7" s="42"/>
      <c r="BN7" s="42"/>
      <c r="BO7" s="42"/>
      <c r="BP7" s="42"/>
      <c r="BQ7" s="42"/>
      <c r="BR7" s="42"/>
      <c r="BS7" s="42"/>
      <c r="BT7" s="42"/>
      <c r="BU7" s="42"/>
      <c r="BV7" s="42"/>
      <c r="BW7" s="39"/>
      <c r="BX7" s="39"/>
      <c r="BY7" s="39"/>
      <c r="BZ7" s="39"/>
      <c r="CA7" s="39"/>
      <c r="CB7" s="27" t="s">
        <v>95</v>
      </c>
      <c r="CC7" s="27" t="s">
        <v>95</v>
      </c>
      <c r="CD7" s="27" t="s">
        <v>96</v>
      </c>
      <c r="CE7" s="27" t="s">
        <v>127</v>
      </c>
      <c r="CF7" s="27" t="s">
        <v>96</v>
      </c>
      <c r="CG7" s="27" t="s">
        <v>96</v>
      </c>
      <c r="CH7" s="27" t="s">
        <v>95</v>
      </c>
      <c r="CI7" s="27" t="s">
        <v>128</v>
      </c>
      <c r="CJ7" s="27" t="s">
        <v>129</v>
      </c>
      <c r="CK7" s="27"/>
      <c r="CL7" s="27" t="s">
        <v>96</v>
      </c>
      <c r="CM7" s="27" t="s">
        <v>130</v>
      </c>
      <c r="CN7" s="27"/>
      <c r="CO7" s="27"/>
      <c r="CP7" s="27"/>
      <c r="CQ7" s="27"/>
      <c r="CR7" s="43"/>
      <c r="CS7" s="43"/>
      <c r="CT7" s="43"/>
      <c r="CU7" s="43"/>
      <c r="CV7" s="43"/>
      <c r="CW7" s="43"/>
      <c r="CX7" s="43"/>
      <c r="CY7" s="43"/>
      <c r="CZ7" s="43"/>
      <c r="DA7" s="43"/>
      <c r="DB7" s="43"/>
      <c r="DC7" s="43"/>
      <c r="DD7" s="43"/>
      <c r="DE7" s="43"/>
      <c r="DF7" s="43"/>
    </row>
    <row r="8" spans="1:110" ht="14">
      <c r="A8" s="27" t="s">
        <v>131</v>
      </c>
      <c r="B8" s="33" t="s">
        <v>1693</v>
      </c>
      <c r="C8" s="27" t="s">
        <v>133</v>
      </c>
      <c r="D8" s="27" t="s">
        <v>1650</v>
      </c>
      <c r="E8" s="27" t="s">
        <v>1651</v>
      </c>
      <c r="F8" s="39">
        <v>135966802586.71001</v>
      </c>
      <c r="G8" s="39">
        <v>26665959</v>
      </c>
      <c r="H8" s="40">
        <v>2014</v>
      </c>
      <c r="I8" s="39">
        <v>7786460.0280000009</v>
      </c>
      <c r="J8" s="27" t="s">
        <v>94</v>
      </c>
      <c r="K8" s="41">
        <v>0.80000000000000016</v>
      </c>
      <c r="L8" s="39">
        <v>8090354.530519696</v>
      </c>
      <c r="M8" s="39">
        <v>35083102</v>
      </c>
      <c r="N8" s="41">
        <v>0.63179575392552667</v>
      </c>
      <c r="O8" s="39">
        <v>10328834.66414131</v>
      </c>
      <c r="P8" s="39">
        <v>44521473</v>
      </c>
      <c r="Q8" s="41">
        <v>0.6356073879682953</v>
      </c>
      <c r="R8" s="39">
        <v>15201524.611415507</v>
      </c>
      <c r="S8" s="39">
        <v>58229076</v>
      </c>
      <c r="T8" s="41">
        <v>0.71524426446360045</v>
      </c>
      <c r="U8" s="39">
        <v>22788288.35851137</v>
      </c>
      <c r="V8" s="39">
        <v>73497124</v>
      </c>
      <c r="W8" s="41">
        <v>0.84947088182181918</v>
      </c>
      <c r="X8" s="42">
        <v>0.5181</v>
      </c>
      <c r="Y8" s="42">
        <v>6.6799999999999998E-2</v>
      </c>
      <c r="Z8" s="42">
        <v>4.4299999999999999E-2</v>
      </c>
      <c r="AA8" s="42">
        <v>0.11899999999999999</v>
      </c>
      <c r="AB8" s="42">
        <v>0.13489999999999999</v>
      </c>
      <c r="AC8" s="42"/>
      <c r="AD8" s="42"/>
      <c r="AE8" s="42"/>
      <c r="AF8" s="42">
        <v>6.0600000000000001E-2</v>
      </c>
      <c r="AG8" s="42"/>
      <c r="AH8" s="42"/>
      <c r="AI8" s="42"/>
      <c r="AJ8" s="42">
        <v>5.4300000000000001E-2</v>
      </c>
      <c r="AK8" s="39"/>
      <c r="AL8" s="39"/>
      <c r="AM8" s="39"/>
      <c r="AN8" s="39">
        <v>148000</v>
      </c>
      <c r="AO8" s="39"/>
      <c r="AP8" s="39"/>
      <c r="AQ8" s="39"/>
      <c r="AR8" s="39"/>
      <c r="AS8" s="42"/>
      <c r="AT8" s="42"/>
      <c r="AU8" s="42">
        <v>8.7999999999999995E-2</v>
      </c>
      <c r="AV8" s="42">
        <v>1.4E-2</v>
      </c>
      <c r="AW8" s="42"/>
      <c r="AX8" s="42">
        <v>0.26300000000000001</v>
      </c>
      <c r="AY8" s="42">
        <v>0.23100000000000001</v>
      </c>
      <c r="AZ8" s="42"/>
      <c r="BA8" s="42">
        <v>0.375</v>
      </c>
      <c r="BB8" s="42">
        <v>0.40699999999999997</v>
      </c>
      <c r="BC8" s="42"/>
      <c r="BD8" s="42"/>
      <c r="BE8" s="42"/>
      <c r="BF8" s="42"/>
      <c r="BG8" s="42"/>
      <c r="BH8" s="42"/>
      <c r="BI8" s="42"/>
      <c r="BJ8" s="42"/>
      <c r="BK8" s="42"/>
      <c r="BL8" s="42"/>
      <c r="BM8" s="42"/>
      <c r="BN8" s="42"/>
      <c r="BO8" s="42"/>
      <c r="BP8" s="42"/>
      <c r="BQ8" s="42">
        <v>0.6946</v>
      </c>
      <c r="BR8" s="42">
        <v>3.3700000000000001E-2</v>
      </c>
      <c r="BS8" s="42">
        <v>6.7500000000000004E-2</v>
      </c>
      <c r="BT8" s="42"/>
      <c r="BU8" s="42"/>
      <c r="BV8" s="42">
        <v>0.20419999999999999</v>
      </c>
      <c r="BW8" s="39"/>
      <c r="BX8" s="39"/>
      <c r="BY8" s="39"/>
      <c r="BZ8" s="39"/>
      <c r="CA8" s="39"/>
      <c r="CB8" s="27" t="s">
        <v>95</v>
      </c>
      <c r="CC8" s="27" t="s">
        <v>96</v>
      </c>
      <c r="CD8" s="27" t="s">
        <v>96</v>
      </c>
      <c r="CE8" s="27" t="s">
        <v>134</v>
      </c>
      <c r="CF8" s="27" t="s">
        <v>96</v>
      </c>
      <c r="CG8" s="27" t="s">
        <v>96</v>
      </c>
      <c r="CH8" s="27" t="s">
        <v>96</v>
      </c>
      <c r="CI8" s="27" t="s">
        <v>95</v>
      </c>
      <c r="CJ8" s="27" t="s">
        <v>135</v>
      </c>
      <c r="CK8" s="27" t="s">
        <v>95</v>
      </c>
      <c r="CL8" s="27" t="s">
        <v>95</v>
      </c>
      <c r="CM8" s="27"/>
      <c r="CN8" s="27" t="s">
        <v>95</v>
      </c>
      <c r="CO8" s="27"/>
      <c r="CP8" s="27" t="s">
        <v>95</v>
      </c>
      <c r="CQ8" s="27"/>
      <c r="CR8" s="43"/>
      <c r="CS8" s="43"/>
      <c r="CT8" s="43"/>
      <c r="CU8" s="43"/>
      <c r="CV8" s="43"/>
      <c r="CW8" s="43"/>
      <c r="CX8" s="43"/>
      <c r="CY8" s="43"/>
      <c r="CZ8" s="43"/>
      <c r="DA8" s="43"/>
      <c r="DB8" s="43"/>
      <c r="DC8" s="43"/>
      <c r="DD8" s="43"/>
      <c r="DE8" s="43"/>
      <c r="DF8" s="43"/>
    </row>
    <row r="9" spans="1:110" ht="14">
      <c r="A9" s="27" t="s">
        <v>136</v>
      </c>
      <c r="B9" s="27" t="s">
        <v>1714</v>
      </c>
      <c r="C9" s="27" t="s">
        <v>138</v>
      </c>
      <c r="D9" s="27" t="s">
        <v>122</v>
      </c>
      <c r="E9" s="27" t="s">
        <v>122</v>
      </c>
      <c r="F9" s="39">
        <v>1364729630</v>
      </c>
      <c r="G9" s="39">
        <v>86822</v>
      </c>
      <c r="H9" s="40">
        <v>2012</v>
      </c>
      <c r="I9" s="39">
        <v>30300</v>
      </c>
      <c r="J9" s="27" t="s">
        <v>94</v>
      </c>
      <c r="K9" s="41">
        <v>0.95613667768695698</v>
      </c>
      <c r="L9" s="39">
        <v>33623.18451242031</v>
      </c>
      <c r="M9" s="39">
        <v>92598</v>
      </c>
      <c r="N9" s="41">
        <v>0.99481969084276534</v>
      </c>
      <c r="O9" s="39">
        <v>38574.866246344587</v>
      </c>
      <c r="P9" s="39">
        <v>95863</v>
      </c>
      <c r="Q9" s="41">
        <v>1.1024541800118743</v>
      </c>
      <c r="R9" s="39">
        <v>42535.987641353204</v>
      </c>
      <c r="S9" s="39">
        <v>97163</v>
      </c>
      <c r="T9" s="41">
        <v>1.1993964002970634</v>
      </c>
      <c r="U9" s="39">
        <v>44782.040933983619</v>
      </c>
      <c r="V9" s="39">
        <v>95225</v>
      </c>
      <c r="W9" s="41">
        <v>1.2884276514235173</v>
      </c>
      <c r="X9" s="42">
        <v>0.25200000762939401</v>
      </c>
      <c r="Y9" s="42">
        <v>0.13699999809265101</v>
      </c>
      <c r="Z9" s="42">
        <v>7.9000000953674293E-2</v>
      </c>
      <c r="AA9" s="42">
        <v>0.187999992370605</v>
      </c>
      <c r="AB9" s="42">
        <v>0.19500000000000001</v>
      </c>
      <c r="AC9" s="42"/>
      <c r="AD9" s="42"/>
      <c r="AE9" s="42"/>
      <c r="AF9" s="42">
        <v>6.9000000953674298E-2</v>
      </c>
      <c r="AG9" s="42"/>
      <c r="AH9" s="42"/>
      <c r="AI9" s="42"/>
      <c r="AJ9" s="42">
        <v>7.9000000953674293E-2</v>
      </c>
      <c r="AK9" s="39"/>
      <c r="AL9" s="39"/>
      <c r="AM9" s="39">
        <v>4800</v>
      </c>
      <c r="AN9" s="39">
        <v>1000</v>
      </c>
      <c r="AO9" s="39"/>
      <c r="AP9" s="39">
        <v>100</v>
      </c>
      <c r="AQ9" s="39"/>
      <c r="AR9" s="39"/>
      <c r="AS9" s="42"/>
      <c r="AT9" s="42"/>
      <c r="AU9" s="42"/>
      <c r="AV9" s="42"/>
      <c r="AW9" s="42"/>
      <c r="AX9" s="42"/>
      <c r="AY9" s="42">
        <v>0.99</v>
      </c>
      <c r="AZ9" s="42"/>
      <c r="BA9" s="42"/>
      <c r="BB9" s="42"/>
      <c r="BC9" s="42"/>
      <c r="BD9" s="42">
        <v>0.495</v>
      </c>
      <c r="BE9" s="42">
        <v>0.495</v>
      </c>
      <c r="BF9" s="42"/>
      <c r="BG9" s="42"/>
      <c r="BH9" s="42"/>
      <c r="BI9" s="42"/>
      <c r="BJ9" s="42"/>
      <c r="BK9" s="42"/>
      <c r="BL9" s="42"/>
      <c r="BM9" s="42"/>
      <c r="BN9" s="42"/>
      <c r="BO9" s="42">
        <v>0.01</v>
      </c>
      <c r="BP9" s="42"/>
      <c r="BQ9" s="42">
        <v>4.4255319148936302E-2</v>
      </c>
      <c r="BR9" s="42">
        <v>0.16765957446808499</v>
      </c>
      <c r="BS9" s="42">
        <v>3.2340425531914997E-2</v>
      </c>
      <c r="BT9" s="42">
        <v>7.0638297872340605E-2</v>
      </c>
      <c r="BU9" s="42">
        <v>5.61702127659576E-2</v>
      </c>
      <c r="BV9" s="42">
        <v>0.62893617021276704</v>
      </c>
      <c r="BW9" s="39"/>
      <c r="BX9" s="39"/>
      <c r="BY9" s="39"/>
      <c r="BZ9" s="39"/>
      <c r="CA9" s="39"/>
      <c r="CB9" s="27"/>
      <c r="CC9" s="27" t="s">
        <v>96</v>
      </c>
      <c r="CD9" s="27" t="s">
        <v>96</v>
      </c>
      <c r="CE9" s="27" t="s">
        <v>139</v>
      </c>
      <c r="CF9" s="27" t="s">
        <v>96</v>
      </c>
      <c r="CG9" s="27"/>
      <c r="CH9" s="27"/>
      <c r="CI9" s="27"/>
      <c r="CJ9" s="27" t="s">
        <v>123</v>
      </c>
      <c r="CK9" s="27"/>
      <c r="CL9" s="27" t="s">
        <v>96</v>
      </c>
      <c r="CM9" s="27" t="s">
        <v>140</v>
      </c>
      <c r="CN9" s="27"/>
      <c r="CO9" s="27"/>
      <c r="CP9" s="27"/>
      <c r="CQ9" s="27"/>
      <c r="CR9" s="43"/>
      <c r="CS9" s="43"/>
      <c r="CT9" s="43"/>
      <c r="CU9" s="43"/>
      <c r="CV9" s="43"/>
      <c r="CW9" s="43"/>
      <c r="CX9" s="43"/>
      <c r="CY9" s="43"/>
      <c r="CZ9" s="43"/>
      <c r="DA9" s="43"/>
      <c r="DB9" s="43"/>
      <c r="DC9" s="43"/>
      <c r="DD9" s="43"/>
      <c r="DE9" s="43"/>
      <c r="DF9" s="43"/>
    </row>
    <row r="10" spans="1:110" ht="14">
      <c r="A10" s="27" t="s">
        <v>141</v>
      </c>
      <c r="B10" s="27" t="s">
        <v>1714</v>
      </c>
      <c r="C10" s="27" t="s">
        <v>142</v>
      </c>
      <c r="D10" s="27" t="s">
        <v>1650</v>
      </c>
      <c r="E10" s="27" t="s">
        <v>1650</v>
      </c>
      <c r="F10" s="39">
        <v>632790070063</v>
      </c>
      <c r="G10" s="39">
        <v>45356784</v>
      </c>
      <c r="H10" s="40">
        <v>2022</v>
      </c>
      <c r="I10" s="39">
        <v>19345000</v>
      </c>
      <c r="J10" s="27" t="s">
        <v>94</v>
      </c>
      <c r="K10" s="41">
        <v>1.1685131820633492</v>
      </c>
      <c r="L10" s="39">
        <v>19345000</v>
      </c>
      <c r="M10" s="39">
        <v>45356784</v>
      </c>
      <c r="N10" s="41">
        <v>1.1685131820633492</v>
      </c>
      <c r="O10" s="39">
        <v>20900587.053894561</v>
      </c>
      <c r="P10" s="39">
        <v>46515067</v>
      </c>
      <c r="Q10" s="41">
        <v>1.2310394466256955</v>
      </c>
      <c r="R10" s="39">
        <v>23028379.671799209</v>
      </c>
      <c r="S10" s="39">
        <v>47769055</v>
      </c>
      <c r="T10" s="41">
        <v>1.3207598759409052</v>
      </c>
      <c r="U10" s="39">
        <v>25033508.07184463</v>
      </c>
      <c r="V10" s="39">
        <v>48311619</v>
      </c>
      <c r="W10" s="41">
        <v>1.4196368294238317</v>
      </c>
      <c r="X10" s="42">
        <v>0.34739999999999999</v>
      </c>
      <c r="Y10" s="42">
        <v>4.41E-2</v>
      </c>
      <c r="Z10" s="42">
        <v>2.0199999999999999E-2</v>
      </c>
      <c r="AA10" s="42">
        <v>0.1371</v>
      </c>
      <c r="AB10" s="42">
        <v>0.1862</v>
      </c>
      <c r="AC10" s="42"/>
      <c r="AD10" s="42"/>
      <c r="AE10" s="42">
        <v>4.2700000000000002E-2</v>
      </c>
      <c r="AF10" s="42"/>
      <c r="AG10" s="42"/>
      <c r="AH10" s="42"/>
      <c r="AI10" s="42">
        <v>0.10780000000000001</v>
      </c>
      <c r="AJ10" s="42">
        <v>0.1154</v>
      </c>
      <c r="AK10" s="39"/>
      <c r="AL10" s="39"/>
      <c r="AM10" s="39"/>
      <c r="AN10" s="39">
        <v>517000</v>
      </c>
      <c r="AO10" s="39">
        <v>105346.12</v>
      </c>
      <c r="AP10" s="39"/>
      <c r="AQ10" s="39"/>
      <c r="AR10" s="39"/>
      <c r="AS10" s="42"/>
      <c r="AT10" s="42"/>
      <c r="AU10" s="42"/>
      <c r="AV10" s="42"/>
      <c r="AW10" s="42"/>
      <c r="AX10" s="42"/>
      <c r="AY10" s="42"/>
      <c r="AZ10" s="42">
        <v>0.98</v>
      </c>
      <c r="BA10" s="42"/>
      <c r="BB10" s="42">
        <v>0.998</v>
      </c>
      <c r="BC10" s="42"/>
      <c r="BD10" s="42">
        <v>9.9000000000000005E-2</v>
      </c>
      <c r="BE10" s="42">
        <v>0.246</v>
      </c>
      <c r="BF10" s="42">
        <v>0.64700000000000002</v>
      </c>
      <c r="BG10" s="42"/>
      <c r="BH10" s="42"/>
      <c r="BI10" s="42"/>
      <c r="BJ10" s="42"/>
      <c r="BK10" s="42"/>
      <c r="BL10" s="42"/>
      <c r="BM10" s="42"/>
      <c r="BN10" s="42"/>
      <c r="BO10" s="42"/>
      <c r="BP10" s="42">
        <v>8.0000000000000002E-3</v>
      </c>
      <c r="BQ10" s="42"/>
      <c r="BR10" s="42"/>
      <c r="BS10" s="42"/>
      <c r="BT10" s="42"/>
      <c r="BU10" s="42"/>
      <c r="BV10" s="42"/>
      <c r="BW10" s="39"/>
      <c r="BX10" s="39"/>
      <c r="BY10" s="39">
        <v>150000</v>
      </c>
      <c r="BZ10" s="39"/>
      <c r="CA10" s="39"/>
      <c r="CB10" s="27" t="s">
        <v>96</v>
      </c>
      <c r="CC10" s="27" t="s">
        <v>95</v>
      </c>
      <c r="CD10" s="27" t="s">
        <v>96</v>
      </c>
      <c r="CE10" s="27" t="s">
        <v>143</v>
      </c>
      <c r="CF10" s="27" t="s">
        <v>96</v>
      </c>
      <c r="CG10" s="27" t="s">
        <v>96</v>
      </c>
      <c r="CH10" s="27"/>
      <c r="CI10" s="27"/>
      <c r="CJ10" s="27" t="s">
        <v>1599</v>
      </c>
      <c r="CK10" s="27"/>
      <c r="CL10" s="27" t="s">
        <v>96</v>
      </c>
      <c r="CM10" s="27" t="s">
        <v>144</v>
      </c>
      <c r="CN10" s="27" t="s">
        <v>96</v>
      </c>
      <c r="CO10" s="27"/>
      <c r="CP10" s="27"/>
      <c r="CQ10" s="27"/>
      <c r="CR10" s="43" t="s">
        <v>96</v>
      </c>
      <c r="CS10" s="43" t="s">
        <v>96</v>
      </c>
      <c r="CT10" s="43"/>
      <c r="CU10" s="43"/>
      <c r="CV10" s="43"/>
      <c r="CW10" s="43"/>
      <c r="CX10" s="43" t="s">
        <v>96</v>
      </c>
      <c r="CY10" s="43" t="s">
        <v>1723</v>
      </c>
      <c r="CZ10" s="43" t="s">
        <v>109</v>
      </c>
      <c r="DA10" s="43" t="s">
        <v>1470</v>
      </c>
      <c r="DB10" s="43"/>
      <c r="DC10" s="43"/>
      <c r="DD10" s="43"/>
      <c r="DE10" s="43"/>
      <c r="DF10" s="43"/>
    </row>
    <row r="11" spans="1:110" ht="14">
      <c r="A11" s="27" t="s">
        <v>145</v>
      </c>
      <c r="B11" s="27" t="s">
        <v>1713</v>
      </c>
      <c r="C11" s="27" t="s">
        <v>146</v>
      </c>
      <c r="D11" s="27" t="s">
        <v>1650</v>
      </c>
      <c r="E11" s="27" t="s">
        <v>1650</v>
      </c>
      <c r="F11" s="39">
        <v>19513506553</v>
      </c>
      <c r="G11" s="39">
        <v>2859401</v>
      </c>
      <c r="H11" s="40">
        <v>2022</v>
      </c>
      <c r="I11" s="39">
        <v>532698.9</v>
      </c>
      <c r="J11" s="27" t="s">
        <v>94</v>
      </c>
      <c r="K11" s="41">
        <v>0.51040376676649779</v>
      </c>
      <c r="L11" s="39">
        <v>532698.90000000014</v>
      </c>
      <c r="M11" s="39">
        <v>2859401</v>
      </c>
      <c r="N11" s="41">
        <v>0.51040376676649779</v>
      </c>
      <c r="O11" s="39">
        <v>548994.36863933399</v>
      </c>
      <c r="P11" s="39">
        <v>2861040</v>
      </c>
      <c r="Q11" s="41">
        <v>0.52571587976949274</v>
      </c>
      <c r="R11" s="39">
        <v>591664.87462550995</v>
      </c>
      <c r="S11" s="39">
        <v>2674555</v>
      </c>
      <c r="T11" s="41">
        <v>0.60608200485996599</v>
      </c>
      <c r="U11" s="39">
        <v>595567.99878647493</v>
      </c>
      <c r="V11" s="39">
        <v>2503559</v>
      </c>
      <c r="W11" s="41">
        <v>0.65174942845772965</v>
      </c>
      <c r="X11" s="42">
        <v>0.46</v>
      </c>
      <c r="Y11" s="42">
        <v>0.04</v>
      </c>
      <c r="Z11" s="42">
        <v>0.02</v>
      </c>
      <c r="AA11" s="42">
        <v>0.06</v>
      </c>
      <c r="AB11" s="42">
        <v>0.13</v>
      </c>
      <c r="AC11" s="42"/>
      <c r="AD11" s="42">
        <v>0</v>
      </c>
      <c r="AE11" s="42">
        <v>0.1</v>
      </c>
      <c r="AF11" s="42">
        <v>7.0000000000000007E-2</v>
      </c>
      <c r="AG11" s="42">
        <v>0</v>
      </c>
      <c r="AH11" s="42">
        <v>0.01</v>
      </c>
      <c r="AI11" s="42">
        <v>0.03</v>
      </c>
      <c r="AJ11" s="42">
        <v>0.08</v>
      </c>
      <c r="AK11" s="39"/>
      <c r="AL11" s="39">
        <v>4240</v>
      </c>
      <c r="AM11" s="39">
        <v>5710</v>
      </c>
      <c r="AN11" s="39">
        <v>22000</v>
      </c>
      <c r="AO11" s="39">
        <v>29944000</v>
      </c>
      <c r="AP11" s="39">
        <v>118530</v>
      </c>
      <c r="AQ11" s="39">
        <v>78954020</v>
      </c>
      <c r="AR11" s="39">
        <v>500</v>
      </c>
      <c r="AS11" s="42">
        <v>0.29349999999999998</v>
      </c>
      <c r="AT11" s="42">
        <v>0.70650000000000002</v>
      </c>
      <c r="AU11" s="42"/>
      <c r="AV11" s="42">
        <v>0.89500000000000002</v>
      </c>
      <c r="AW11" s="42"/>
      <c r="AX11" s="42"/>
      <c r="AY11" s="42">
        <v>0.96299999999999997</v>
      </c>
      <c r="AZ11" s="42"/>
      <c r="BA11" s="42"/>
      <c r="BB11" s="42">
        <v>0.998</v>
      </c>
      <c r="BC11" s="42"/>
      <c r="BD11" s="42">
        <v>0.68500000000000005</v>
      </c>
      <c r="BE11" s="42"/>
      <c r="BF11" s="42"/>
      <c r="BG11" s="42"/>
      <c r="BH11" s="42"/>
      <c r="BI11" s="42"/>
      <c r="BJ11" s="42">
        <v>2E-3</v>
      </c>
      <c r="BK11" s="42"/>
      <c r="BL11" s="42"/>
      <c r="BM11" s="42"/>
      <c r="BN11" s="42"/>
      <c r="BO11" s="42"/>
      <c r="BP11" s="42">
        <v>0.313</v>
      </c>
      <c r="BQ11" s="42"/>
      <c r="BR11" s="42"/>
      <c r="BS11" s="42"/>
      <c r="BT11" s="42"/>
      <c r="BU11" s="42"/>
      <c r="BV11" s="42"/>
      <c r="BW11" s="39"/>
      <c r="BX11" s="39"/>
      <c r="BY11" s="39"/>
      <c r="BZ11" s="39"/>
      <c r="CA11" s="39"/>
      <c r="CB11" s="27" t="s">
        <v>96</v>
      </c>
      <c r="CC11" s="27" t="s">
        <v>96</v>
      </c>
      <c r="CD11" s="27" t="s">
        <v>96</v>
      </c>
      <c r="CE11" s="27" t="s">
        <v>147</v>
      </c>
      <c r="CF11" s="27" t="s">
        <v>96</v>
      </c>
      <c r="CG11" s="27" t="s">
        <v>96</v>
      </c>
      <c r="CH11" s="27" t="s">
        <v>96</v>
      </c>
      <c r="CI11" s="27"/>
      <c r="CJ11" s="27" t="s">
        <v>1562</v>
      </c>
      <c r="CK11" s="27"/>
      <c r="CL11" s="27"/>
      <c r="CM11" s="27"/>
      <c r="CN11" s="27" t="s">
        <v>95</v>
      </c>
      <c r="CO11" s="27"/>
      <c r="CP11" s="27"/>
      <c r="CQ11" s="27"/>
      <c r="CR11" s="43" t="s">
        <v>96</v>
      </c>
      <c r="CS11" s="43" t="s">
        <v>96</v>
      </c>
      <c r="CT11" s="43"/>
      <c r="CU11" s="43"/>
      <c r="CV11" s="43"/>
      <c r="CW11" s="43"/>
      <c r="CX11" s="43"/>
      <c r="CY11" s="43" t="s">
        <v>106</v>
      </c>
      <c r="CZ11" s="43" t="s">
        <v>148</v>
      </c>
      <c r="DA11" s="43" t="s">
        <v>1471</v>
      </c>
      <c r="DB11" s="43"/>
      <c r="DC11" s="43"/>
      <c r="DD11" s="43"/>
      <c r="DE11" s="43"/>
      <c r="DF11" s="43"/>
    </row>
    <row r="12" spans="1:110" ht="14">
      <c r="A12" s="27" t="s">
        <v>150</v>
      </c>
      <c r="B12" s="27" t="s">
        <v>1714</v>
      </c>
      <c r="C12" s="27" t="s">
        <v>151</v>
      </c>
      <c r="D12" s="27" t="s">
        <v>122</v>
      </c>
      <c r="E12" s="27" t="s">
        <v>122</v>
      </c>
      <c r="F12" s="39">
        <v>3395798882.6799998</v>
      </c>
      <c r="G12" s="39">
        <v>106771</v>
      </c>
      <c r="H12" s="40">
        <v>2019</v>
      </c>
      <c r="I12" s="39">
        <v>67810</v>
      </c>
      <c r="J12" s="27" t="s">
        <v>152</v>
      </c>
      <c r="K12" s="41">
        <v>1.7399932745577753</v>
      </c>
      <c r="L12" s="39">
        <v>70121.647184268528</v>
      </c>
      <c r="M12" s="39">
        <v>107696</v>
      </c>
      <c r="N12" s="41">
        <v>1.7838554995051652</v>
      </c>
      <c r="O12" s="39">
        <v>76080.127587776791</v>
      </c>
      <c r="P12" s="39">
        <v>107937</v>
      </c>
      <c r="Q12" s="41">
        <v>1.9311144993833107</v>
      </c>
      <c r="R12" s="39">
        <v>76452.031009412225</v>
      </c>
      <c r="S12" s="39">
        <v>105091</v>
      </c>
      <c r="T12" s="41">
        <v>1.993107109113712</v>
      </c>
      <c r="U12" s="39">
        <v>75321.447504873518</v>
      </c>
      <c r="V12" s="39">
        <v>100284</v>
      </c>
      <c r="W12" s="41">
        <v>2.0577572708541578</v>
      </c>
      <c r="X12" s="42"/>
      <c r="Y12" s="42"/>
      <c r="Z12" s="42"/>
      <c r="AA12" s="42"/>
      <c r="AB12" s="42"/>
      <c r="AC12" s="42"/>
      <c r="AD12" s="42"/>
      <c r="AE12" s="42"/>
      <c r="AF12" s="42"/>
      <c r="AG12" s="42"/>
      <c r="AH12" s="42"/>
      <c r="AI12" s="42"/>
      <c r="AJ12" s="42"/>
      <c r="AK12" s="39"/>
      <c r="AL12" s="39"/>
      <c r="AM12" s="39"/>
      <c r="AN12" s="39">
        <v>2000</v>
      </c>
      <c r="AO12" s="39"/>
      <c r="AP12" s="39"/>
      <c r="AQ12" s="39"/>
      <c r="AR12" s="39"/>
      <c r="AS12" s="42"/>
      <c r="AT12" s="42"/>
      <c r="AU12" s="42"/>
      <c r="AV12" s="42"/>
      <c r="AW12" s="42"/>
      <c r="AX12" s="42"/>
      <c r="AY12" s="42"/>
      <c r="AZ12" s="42">
        <v>0.96</v>
      </c>
      <c r="BA12" s="42"/>
      <c r="BB12" s="42"/>
      <c r="BC12" s="42"/>
      <c r="BD12" s="42"/>
      <c r="BE12" s="42"/>
      <c r="BF12" s="42"/>
      <c r="BG12" s="42">
        <v>0.84943223713316596</v>
      </c>
      <c r="BH12" s="42"/>
      <c r="BI12" s="42"/>
      <c r="BJ12" s="42">
        <v>0.129479427813007</v>
      </c>
      <c r="BK12" s="42"/>
      <c r="BL12" s="42"/>
      <c r="BN12" s="42">
        <v>2.1088335053826901E-2</v>
      </c>
      <c r="BO12" s="42"/>
      <c r="BP12" s="42"/>
      <c r="BQ12" s="42"/>
      <c r="BR12" s="42"/>
      <c r="BS12" s="42"/>
      <c r="BT12" s="42"/>
      <c r="BU12" s="42"/>
      <c r="BV12" s="42"/>
      <c r="BW12" s="39"/>
      <c r="BX12" s="39"/>
      <c r="BY12" s="39"/>
      <c r="BZ12" s="39"/>
      <c r="CA12" s="39"/>
      <c r="CB12" s="27" t="s">
        <v>95</v>
      </c>
      <c r="CC12" s="27"/>
      <c r="CD12" s="27" t="s">
        <v>95</v>
      </c>
      <c r="CE12" s="27" t="s">
        <v>95</v>
      </c>
      <c r="CF12" s="27" t="s">
        <v>96</v>
      </c>
      <c r="CG12" s="27"/>
      <c r="CH12" s="27"/>
      <c r="CI12" s="27" t="s">
        <v>153</v>
      </c>
      <c r="CJ12" s="27" t="s">
        <v>123</v>
      </c>
      <c r="CK12" s="27"/>
      <c r="CL12" s="27" t="s">
        <v>96</v>
      </c>
      <c r="CM12" s="27" t="s">
        <v>154</v>
      </c>
      <c r="CN12" s="27"/>
      <c r="CO12" s="27"/>
      <c r="CP12" s="27"/>
      <c r="CQ12" s="27"/>
      <c r="CR12" s="43"/>
      <c r="CS12" s="43"/>
      <c r="CT12" s="43"/>
      <c r="CU12" s="43"/>
      <c r="CV12" s="43"/>
      <c r="CW12" s="43"/>
      <c r="CX12" s="43"/>
      <c r="CY12" s="43"/>
      <c r="CZ12" s="43"/>
      <c r="DA12" s="43"/>
      <c r="DB12" s="43"/>
      <c r="DC12" s="43"/>
      <c r="DD12" s="43"/>
      <c r="DE12" s="43"/>
      <c r="DF12" s="43"/>
    </row>
    <row r="13" spans="1:110" ht="14">
      <c r="A13" s="27" t="s">
        <v>155</v>
      </c>
      <c r="B13" s="47" t="s">
        <v>1712</v>
      </c>
      <c r="C13" s="27" t="s">
        <v>156</v>
      </c>
      <c r="D13" s="27" t="s">
        <v>122</v>
      </c>
      <c r="E13" s="27" t="s">
        <v>122</v>
      </c>
      <c r="F13" s="39">
        <v>1556735770437</v>
      </c>
      <c r="G13" s="39">
        <v>25831668</v>
      </c>
      <c r="H13" s="40">
        <v>2021</v>
      </c>
      <c r="I13" s="39">
        <v>13950303.7429296</v>
      </c>
      <c r="J13" s="27" t="s">
        <v>157</v>
      </c>
      <c r="K13" s="41">
        <v>1.4795796483061663</v>
      </c>
      <c r="L13" s="39">
        <v>14201100.122972865</v>
      </c>
      <c r="M13" s="39">
        <v>26081167</v>
      </c>
      <c r="N13" s="41">
        <v>1.4917708101245313</v>
      </c>
      <c r="O13" s="39">
        <v>15860053.943387974</v>
      </c>
      <c r="P13" s="39">
        <v>28072905</v>
      </c>
      <c r="Q13" s="41">
        <v>1.5478342047117881</v>
      </c>
      <c r="R13" s="39">
        <v>17827020.339437354</v>
      </c>
      <c r="S13" s="39">
        <v>30251945</v>
      </c>
      <c r="T13" s="41">
        <v>1.6144797174164127</v>
      </c>
      <c r="U13" s="39">
        <v>19743819.698765691</v>
      </c>
      <c r="V13" s="39">
        <v>32401987</v>
      </c>
      <c r="W13" s="41">
        <v>1.6694240605968733</v>
      </c>
      <c r="X13" s="42">
        <v>0.38593350990831499</v>
      </c>
      <c r="Y13" s="42">
        <v>7.6989763067008596E-2</v>
      </c>
      <c r="Z13" s="42">
        <v>9.7609461065564798E-2</v>
      </c>
      <c r="AA13" s="42">
        <v>4.1714882797867697E-2</v>
      </c>
      <c r="AB13" s="42">
        <v>1.7926473251309898E-2</v>
      </c>
      <c r="AC13" s="42">
        <v>1.2570456147601001E-5</v>
      </c>
      <c r="AD13" s="42">
        <v>1.57719988472288E-2</v>
      </c>
      <c r="AE13" s="42">
        <v>0.34825299807766302</v>
      </c>
      <c r="AF13" s="42">
        <v>7.1369576798775995E-4</v>
      </c>
      <c r="AG13" s="42"/>
      <c r="AH13" s="42"/>
      <c r="AI13" s="42"/>
      <c r="AJ13" s="42">
        <v>1.50746467609065E-2</v>
      </c>
      <c r="AK13" s="39">
        <v>5844938</v>
      </c>
      <c r="AL13" s="39">
        <v>33050000</v>
      </c>
      <c r="AM13" s="39">
        <v>29000000</v>
      </c>
      <c r="AN13" s="39">
        <v>580000</v>
      </c>
      <c r="AO13" s="39">
        <v>6890000</v>
      </c>
      <c r="AP13" s="39">
        <v>12800000</v>
      </c>
      <c r="AQ13" s="39">
        <v>619700000</v>
      </c>
      <c r="AR13" s="39"/>
      <c r="AS13" s="42"/>
      <c r="AT13" s="42"/>
      <c r="AU13" s="42"/>
      <c r="AV13" s="42"/>
      <c r="AW13" s="42"/>
      <c r="AX13" s="42">
        <v>0.95</v>
      </c>
      <c r="AY13" s="42">
        <v>0.98</v>
      </c>
      <c r="AZ13" s="42"/>
      <c r="BA13" s="42"/>
      <c r="BB13" s="42"/>
      <c r="BC13" s="42"/>
      <c r="BD13" s="42"/>
      <c r="BE13" s="42"/>
      <c r="BF13" s="42">
        <v>0.57848904224596098</v>
      </c>
      <c r="BG13" s="42"/>
      <c r="BH13" s="42"/>
      <c r="BI13" s="42">
        <v>5.7346420551121997E-2</v>
      </c>
      <c r="BJ13" s="42">
        <v>0.36163642025292098</v>
      </c>
      <c r="BK13" s="42">
        <v>3.53684048749045E-4</v>
      </c>
      <c r="BL13" s="42"/>
      <c r="BM13" s="42"/>
      <c r="BN13" s="42">
        <v>2.1744329012471698E-3</v>
      </c>
      <c r="BO13" s="42"/>
      <c r="BP13" s="42"/>
      <c r="BQ13" s="42"/>
      <c r="BR13" s="42"/>
      <c r="BS13" s="42"/>
      <c r="BT13" s="42"/>
      <c r="BU13" s="42"/>
      <c r="BV13" s="42"/>
      <c r="BW13" s="39">
        <v>36000</v>
      </c>
      <c r="BX13" s="39"/>
      <c r="BY13" s="39"/>
      <c r="BZ13" s="39"/>
      <c r="CA13" s="39"/>
      <c r="CB13" s="27" t="s">
        <v>96</v>
      </c>
      <c r="CC13" s="27" t="s">
        <v>95</v>
      </c>
      <c r="CD13" s="27" t="s">
        <v>96</v>
      </c>
      <c r="CE13" s="27" t="s">
        <v>158</v>
      </c>
      <c r="CF13" s="27" t="s">
        <v>96</v>
      </c>
      <c r="CG13" s="27" t="s">
        <v>96</v>
      </c>
      <c r="CH13" s="27" t="s">
        <v>96</v>
      </c>
      <c r="CI13" s="27" t="s">
        <v>159</v>
      </c>
      <c r="CJ13" s="27" t="s">
        <v>160</v>
      </c>
      <c r="CK13" s="27"/>
      <c r="CL13" s="27" t="s">
        <v>96</v>
      </c>
      <c r="CM13" s="27" t="s">
        <v>161</v>
      </c>
      <c r="CN13" s="27"/>
      <c r="CO13" s="27"/>
      <c r="CP13" s="27" t="s">
        <v>96</v>
      </c>
      <c r="CQ13" s="27"/>
      <c r="CR13" s="43" t="s">
        <v>96</v>
      </c>
      <c r="CS13" s="43"/>
      <c r="CT13" s="43"/>
      <c r="CU13" s="43"/>
      <c r="CV13" s="43" t="s">
        <v>96</v>
      </c>
      <c r="CW13" s="43"/>
      <c r="CX13" s="43"/>
      <c r="CY13" s="43" t="s">
        <v>1723</v>
      </c>
      <c r="CZ13" s="43" t="s">
        <v>109</v>
      </c>
      <c r="DA13" s="43" t="s">
        <v>1470</v>
      </c>
      <c r="DB13" s="43" t="s">
        <v>96</v>
      </c>
      <c r="DC13" s="43" t="s">
        <v>162</v>
      </c>
      <c r="DD13" s="43" t="s">
        <v>1724</v>
      </c>
      <c r="DE13" s="43" t="s">
        <v>109</v>
      </c>
      <c r="DF13" s="43" t="s">
        <v>1470</v>
      </c>
    </row>
    <row r="14" spans="1:110" ht="14">
      <c r="A14" s="27" t="s">
        <v>163</v>
      </c>
      <c r="B14" s="27" t="s">
        <v>1713</v>
      </c>
      <c r="C14" s="27" t="s">
        <v>164</v>
      </c>
      <c r="D14" s="27" t="s">
        <v>122</v>
      </c>
      <c r="E14" s="27" t="s">
        <v>122</v>
      </c>
      <c r="F14" s="39">
        <v>471773629830</v>
      </c>
      <c r="G14" s="39">
        <v>8993251</v>
      </c>
      <c r="H14" s="40">
        <v>2022</v>
      </c>
      <c r="I14" s="39">
        <v>7261357</v>
      </c>
      <c r="J14" s="27" t="s">
        <v>94</v>
      </c>
      <c r="K14" s="41">
        <v>2.212117594307474</v>
      </c>
      <c r="L14" s="39">
        <v>7261356.9999999991</v>
      </c>
      <c r="M14" s="39">
        <v>8993251</v>
      </c>
      <c r="N14" s="41">
        <v>2.212117594307474</v>
      </c>
      <c r="O14" s="39">
        <v>7531004.5168916024</v>
      </c>
      <c r="P14" s="39">
        <v>9085728</v>
      </c>
      <c r="Q14" s="41">
        <v>2.2709120377997505</v>
      </c>
      <c r="R14" s="39">
        <v>7615285.0738878082</v>
      </c>
      <c r="S14" s="39">
        <v>8942441</v>
      </c>
      <c r="T14" s="41">
        <v>2.3331207578535098</v>
      </c>
      <c r="U14" s="39">
        <v>7603303.7843495505</v>
      </c>
      <c r="V14" s="39">
        <v>8738136</v>
      </c>
      <c r="W14" s="41">
        <v>2.383914518175335</v>
      </c>
      <c r="X14" s="42"/>
      <c r="Y14" s="42"/>
      <c r="Z14" s="42"/>
      <c r="AA14" s="42"/>
      <c r="AB14" s="42"/>
      <c r="AC14" s="42"/>
      <c r="AD14" s="42"/>
      <c r="AE14" s="42"/>
      <c r="AF14" s="42"/>
      <c r="AG14" s="42"/>
      <c r="AH14" s="42"/>
      <c r="AI14" s="42"/>
      <c r="AJ14" s="42"/>
      <c r="AK14" s="39">
        <v>4115524</v>
      </c>
      <c r="AL14" s="39">
        <v>168233</v>
      </c>
      <c r="AM14" s="39">
        <v>11508514</v>
      </c>
      <c r="AN14" s="39">
        <v>175000</v>
      </c>
      <c r="AO14" s="39">
        <v>1195800</v>
      </c>
      <c r="AP14" s="39">
        <v>5139829</v>
      </c>
      <c r="AQ14" s="39">
        <v>40942</v>
      </c>
      <c r="AR14" s="39">
        <v>53386</v>
      </c>
      <c r="AS14" s="42"/>
      <c r="AT14" s="42"/>
      <c r="AU14" s="42"/>
      <c r="AV14" s="42"/>
      <c r="AW14" s="42"/>
      <c r="AX14" s="42"/>
      <c r="AY14" s="42"/>
      <c r="AZ14" s="42"/>
      <c r="BA14" s="42"/>
      <c r="BB14" s="42"/>
      <c r="BC14" s="42"/>
      <c r="BD14" s="42"/>
      <c r="BE14" s="42"/>
      <c r="BF14" s="42">
        <v>1.6751157152303301E-2</v>
      </c>
      <c r="BG14" s="42"/>
      <c r="BH14" s="42">
        <v>0.171478950848578</v>
      </c>
      <c r="BI14" s="42"/>
      <c r="BJ14" s="42">
        <v>0.51465726250826505</v>
      </c>
      <c r="BK14" s="42">
        <v>0.29248402027771703</v>
      </c>
      <c r="BL14" s="42"/>
      <c r="BM14" s="42"/>
      <c r="BN14" s="42">
        <v>4.6286092131364301E-3</v>
      </c>
      <c r="BO14" s="42"/>
      <c r="BP14" s="42"/>
      <c r="BQ14" s="42"/>
      <c r="BR14" s="42"/>
      <c r="BS14" s="42"/>
      <c r="BT14" s="42"/>
      <c r="BU14" s="42"/>
      <c r="BV14" s="42"/>
      <c r="BW14" s="39">
        <v>15752</v>
      </c>
      <c r="BX14" s="39"/>
      <c r="BY14" s="39"/>
      <c r="BZ14" s="39"/>
      <c r="CA14" s="39"/>
      <c r="CB14" s="27" t="s">
        <v>96</v>
      </c>
      <c r="CC14" s="27" t="s">
        <v>96</v>
      </c>
      <c r="CD14" s="27" t="s">
        <v>96</v>
      </c>
      <c r="CE14" s="27" t="s">
        <v>165</v>
      </c>
      <c r="CF14" s="27" t="s">
        <v>96</v>
      </c>
      <c r="CG14" s="27" t="s">
        <v>95</v>
      </c>
      <c r="CH14" s="27" t="s">
        <v>96</v>
      </c>
      <c r="CI14" s="27" t="s">
        <v>166</v>
      </c>
      <c r="CJ14" s="27" t="s">
        <v>167</v>
      </c>
      <c r="CK14" s="27"/>
      <c r="CL14" s="27" t="s">
        <v>96</v>
      </c>
      <c r="CM14" s="27" t="s">
        <v>166</v>
      </c>
      <c r="CN14" s="27" t="s">
        <v>96</v>
      </c>
      <c r="CO14" s="27"/>
      <c r="CP14" s="27" t="s">
        <v>96</v>
      </c>
      <c r="CQ14" s="27"/>
      <c r="CR14" s="43" t="s">
        <v>96</v>
      </c>
      <c r="CS14" s="43" t="s">
        <v>96</v>
      </c>
      <c r="CT14" s="43"/>
      <c r="CU14" s="43" t="s">
        <v>96</v>
      </c>
      <c r="CV14" s="43" t="s">
        <v>96</v>
      </c>
      <c r="CW14" s="43" t="s">
        <v>96</v>
      </c>
      <c r="CX14" s="43" t="s">
        <v>96</v>
      </c>
      <c r="CY14" s="43" t="s">
        <v>1723</v>
      </c>
      <c r="CZ14" s="43" t="s">
        <v>109</v>
      </c>
      <c r="DA14" s="43" t="s">
        <v>1470</v>
      </c>
      <c r="DB14" s="43" t="s">
        <v>96</v>
      </c>
      <c r="DC14" s="43" t="s">
        <v>168</v>
      </c>
      <c r="DD14" s="43" t="s">
        <v>1435</v>
      </c>
      <c r="DE14" s="43" t="s">
        <v>109</v>
      </c>
      <c r="DF14" s="43" t="s">
        <v>1470</v>
      </c>
    </row>
    <row r="15" spans="1:110" ht="14">
      <c r="A15" s="27" t="s">
        <v>169</v>
      </c>
      <c r="B15" s="27" t="s">
        <v>1713</v>
      </c>
      <c r="C15" s="27" t="s">
        <v>170</v>
      </c>
      <c r="D15" s="27" t="s">
        <v>1650</v>
      </c>
      <c r="E15" s="27" t="s">
        <v>1650</v>
      </c>
      <c r="F15" s="39">
        <v>42693000000</v>
      </c>
      <c r="G15" s="39">
        <v>10153702</v>
      </c>
      <c r="H15" s="40">
        <v>2020</v>
      </c>
      <c r="I15" s="39">
        <v>3890000</v>
      </c>
      <c r="J15" s="27" t="s">
        <v>152</v>
      </c>
      <c r="K15" s="41">
        <v>1.0496205469271547</v>
      </c>
      <c r="L15" s="39">
        <v>4136466.9995876118</v>
      </c>
      <c r="M15" s="39">
        <v>10258983</v>
      </c>
      <c r="N15" s="41">
        <v>1.1046695661977441</v>
      </c>
      <c r="O15" s="39">
        <v>4676029.7513436107</v>
      </c>
      <c r="P15" s="39">
        <v>10640514</v>
      </c>
      <c r="Q15" s="41">
        <v>1.2039869892225159</v>
      </c>
      <c r="R15" s="39">
        <v>5234402.2383787362</v>
      </c>
      <c r="S15" s="39">
        <v>11066752</v>
      </c>
      <c r="T15" s="41">
        <v>1.2958479642764835</v>
      </c>
      <c r="U15" s="39">
        <v>5750107.9461379461</v>
      </c>
      <c r="V15" s="39">
        <v>11224531</v>
      </c>
      <c r="W15" s="41">
        <v>1.403508119882954</v>
      </c>
      <c r="X15" s="42">
        <v>0.4345</v>
      </c>
      <c r="Y15" s="42">
        <v>5.8400000000000001E-2</v>
      </c>
      <c r="Z15" s="42">
        <v>2.5000000000000001E-2</v>
      </c>
      <c r="AA15" s="42">
        <v>0.1452</v>
      </c>
      <c r="AB15" s="42">
        <v>9.1399999999999995E-2</v>
      </c>
      <c r="AC15" s="42"/>
      <c r="AD15" s="42"/>
      <c r="AE15" s="42"/>
      <c r="AF15" s="42">
        <v>3.7400000000000003E-2</v>
      </c>
      <c r="AG15" s="42"/>
      <c r="AH15" s="42">
        <v>1.5299999999999999E-2</v>
      </c>
      <c r="AI15" s="42">
        <v>4.8899999999999999E-2</v>
      </c>
      <c r="AJ15" s="42">
        <v>0.14419999999999999</v>
      </c>
      <c r="AK15" s="39"/>
      <c r="AL15" s="39">
        <v>36400</v>
      </c>
      <c r="AM15" s="39">
        <v>43800</v>
      </c>
      <c r="AN15" s="39">
        <v>90000</v>
      </c>
      <c r="AO15" s="39">
        <v>337100</v>
      </c>
      <c r="AP15" s="39">
        <v>836200</v>
      </c>
      <c r="AQ15" s="39">
        <v>262000</v>
      </c>
      <c r="AR15" s="39"/>
      <c r="AS15" s="42"/>
      <c r="AT15" s="42"/>
      <c r="AU15" s="42"/>
      <c r="AV15" s="42"/>
      <c r="AW15" s="42"/>
      <c r="AX15" s="42"/>
      <c r="AY15" s="42">
        <v>0.64900000000000002</v>
      </c>
      <c r="AZ15" s="42">
        <v>0.68</v>
      </c>
      <c r="BA15" s="42"/>
      <c r="BB15" s="42"/>
      <c r="BC15" s="42"/>
      <c r="BD15" s="42"/>
      <c r="BE15" s="42"/>
      <c r="BF15" s="42"/>
      <c r="BG15" s="42">
        <v>0.53244000000000002</v>
      </c>
      <c r="BH15" s="42"/>
      <c r="BI15" s="42"/>
      <c r="BJ15" s="42"/>
      <c r="BK15" s="42">
        <v>0.14416000000000001</v>
      </c>
      <c r="BL15" s="42"/>
      <c r="BM15" s="42"/>
      <c r="BN15" s="42">
        <v>3.3999999999999998E-3</v>
      </c>
      <c r="BO15" s="42">
        <v>0.32</v>
      </c>
      <c r="BP15" s="42"/>
      <c r="BQ15" s="42"/>
      <c r="BR15" s="42"/>
      <c r="BS15" s="42"/>
      <c r="BT15" s="42"/>
      <c r="BU15" s="42"/>
      <c r="BV15" s="42"/>
      <c r="BW15" s="39">
        <v>33600</v>
      </c>
      <c r="BX15" s="39">
        <v>11725</v>
      </c>
      <c r="BY15" s="39"/>
      <c r="BZ15" s="39"/>
      <c r="CA15" s="39"/>
      <c r="CB15" s="27" t="s">
        <v>95</v>
      </c>
      <c r="CC15" s="27" t="s">
        <v>96</v>
      </c>
      <c r="CD15" s="27" t="s">
        <v>95</v>
      </c>
      <c r="CE15" s="27" t="s">
        <v>171</v>
      </c>
      <c r="CF15" s="27" t="s">
        <v>96</v>
      </c>
      <c r="CG15" s="27" t="s">
        <v>96</v>
      </c>
      <c r="CH15" s="27" t="s">
        <v>95</v>
      </c>
      <c r="CI15" s="27" t="s">
        <v>172</v>
      </c>
      <c r="CJ15" s="27" t="s">
        <v>1564</v>
      </c>
      <c r="CK15" s="27" t="s">
        <v>172</v>
      </c>
      <c r="CL15" s="27" t="s">
        <v>96</v>
      </c>
      <c r="CM15" s="27" t="s">
        <v>173</v>
      </c>
      <c r="CN15" s="27" t="s">
        <v>95</v>
      </c>
      <c r="CO15" s="27"/>
      <c r="CP15" s="27"/>
      <c r="CQ15" s="27"/>
      <c r="CR15" s="43" t="s">
        <v>96</v>
      </c>
      <c r="CS15" s="43" t="s">
        <v>96</v>
      </c>
      <c r="CT15" s="43" t="s">
        <v>96</v>
      </c>
      <c r="CU15" s="43"/>
      <c r="CV15" s="43" t="s">
        <v>96</v>
      </c>
      <c r="CW15" s="43" t="s">
        <v>96</v>
      </c>
      <c r="CX15" s="43" t="s">
        <v>96</v>
      </c>
      <c r="CY15" s="43" t="s">
        <v>106</v>
      </c>
      <c r="CZ15" s="43" t="s">
        <v>148</v>
      </c>
      <c r="DA15" s="43" t="s">
        <v>1471</v>
      </c>
      <c r="DB15" s="43"/>
      <c r="DC15" s="43"/>
      <c r="DD15" s="43"/>
      <c r="DE15" s="43"/>
      <c r="DF15" s="43"/>
    </row>
    <row r="16" spans="1:110" ht="14">
      <c r="A16" s="27" t="s">
        <v>174</v>
      </c>
      <c r="B16" s="27" t="s">
        <v>1714</v>
      </c>
      <c r="C16" s="27" t="s">
        <v>175</v>
      </c>
      <c r="D16" s="27" t="s">
        <v>122</v>
      </c>
      <c r="E16" s="27" t="s">
        <v>122</v>
      </c>
      <c r="F16" s="39">
        <v>12037000000</v>
      </c>
      <c r="G16" s="39">
        <v>396184</v>
      </c>
      <c r="H16" s="40">
        <v>2021</v>
      </c>
      <c r="I16" s="39">
        <v>503692.39867834799</v>
      </c>
      <c r="J16" s="27" t="s">
        <v>94</v>
      </c>
      <c r="K16" s="41">
        <v>3.4831774490166874</v>
      </c>
      <c r="L16" s="39">
        <v>519298.16185111849</v>
      </c>
      <c r="M16" s="39">
        <v>396562</v>
      </c>
      <c r="N16" s="41">
        <v>3.587672772487188</v>
      </c>
      <c r="O16" s="39">
        <v>580631.49531526631</v>
      </c>
      <c r="P16" s="39">
        <v>409622</v>
      </c>
      <c r="Q16" s="41">
        <v>3.8835102119559628</v>
      </c>
      <c r="R16" s="39">
        <v>620734.15393782733</v>
      </c>
      <c r="S16" s="39">
        <v>419965</v>
      </c>
      <c r="T16" s="41">
        <v>4.0494839275603516</v>
      </c>
      <c r="U16" s="39">
        <v>653623.32010177628</v>
      </c>
      <c r="V16" s="39">
        <v>424277</v>
      </c>
      <c r="W16" s="41">
        <v>4.2207068075729941</v>
      </c>
      <c r="X16" s="42"/>
      <c r="Y16" s="42"/>
      <c r="Z16" s="42"/>
      <c r="AA16" s="42"/>
      <c r="AB16" s="42"/>
      <c r="AC16" s="42"/>
      <c r="AD16" s="42"/>
      <c r="AE16" s="42"/>
      <c r="AF16" s="42"/>
      <c r="AG16" s="42"/>
      <c r="AH16" s="42"/>
      <c r="AI16" s="42"/>
      <c r="AJ16" s="42"/>
      <c r="AK16" s="39"/>
      <c r="AL16" s="39"/>
      <c r="AM16" s="39"/>
      <c r="AN16" s="39">
        <v>7000</v>
      </c>
      <c r="AO16" s="39"/>
      <c r="AP16" s="39"/>
      <c r="AQ16" s="39"/>
      <c r="AR16" s="39"/>
      <c r="AS16" s="42"/>
      <c r="AT16" s="42"/>
      <c r="AU16" s="42"/>
      <c r="AV16" s="42"/>
      <c r="AW16" s="42"/>
      <c r="AX16" s="42"/>
      <c r="AY16" s="42"/>
      <c r="AZ16" s="42">
        <v>0.79</v>
      </c>
      <c r="BA16" s="42"/>
      <c r="BB16" s="42"/>
      <c r="BC16" s="42"/>
      <c r="BD16" s="42">
        <v>0.79</v>
      </c>
      <c r="BE16" s="42"/>
      <c r="BF16" s="42"/>
      <c r="BG16" s="42"/>
      <c r="BH16" s="42"/>
      <c r="BI16" s="42"/>
      <c r="BJ16" s="42"/>
      <c r="BK16" s="42"/>
      <c r="BL16" s="42"/>
      <c r="BM16" s="42"/>
      <c r="BN16" s="42"/>
      <c r="BO16" s="42">
        <v>0.21</v>
      </c>
      <c r="BP16" s="42"/>
      <c r="BQ16" s="42"/>
      <c r="BR16" s="42"/>
      <c r="BS16" s="42"/>
      <c r="BT16" s="42"/>
      <c r="BU16" s="42"/>
      <c r="BV16" s="42"/>
      <c r="BW16" s="39"/>
      <c r="BX16" s="39"/>
      <c r="BY16" s="39"/>
      <c r="BZ16" s="39"/>
      <c r="CA16" s="39"/>
      <c r="CB16" s="27" t="s">
        <v>95</v>
      </c>
      <c r="CC16" s="27"/>
      <c r="CD16" s="27"/>
      <c r="CE16" s="27" t="s">
        <v>176</v>
      </c>
      <c r="CF16" s="27" t="s">
        <v>96</v>
      </c>
      <c r="CG16" s="27" t="s">
        <v>96</v>
      </c>
      <c r="CH16" s="27" t="s">
        <v>95</v>
      </c>
      <c r="CI16" s="27" t="s">
        <v>177</v>
      </c>
      <c r="CJ16" s="27" t="s">
        <v>123</v>
      </c>
      <c r="CK16" s="27"/>
      <c r="CL16" s="27" t="s">
        <v>96</v>
      </c>
      <c r="CM16" s="27" t="s">
        <v>178</v>
      </c>
      <c r="CN16" s="27" t="s">
        <v>95</v>
      </c>
      <c r="CO16" s="27"/>
      <c r="CP16" s="27" t="s">
        <v>95</v>
      </c>
      <c r="CQ16" s="27"/>
      <c r="CR16" s="43"/>
      <c r="CS16" s="43"/>
      <c r="CT16" s="43"/>
      <c r="CU16" s="43"/>
      <c r="CV16" s="43"/>
      <c r="CW16" s="43"/>
      <c r="CX16" s="43"/>
      <c r="CY16" s="43"/>
      <c r="CZ16" s="43"/>
      <c r="DA16" s="43"/>
      <c r="DB16" s="43"/>
      <c r="DC16" s="43"/>
      <c r="DD16" s="43"/>
      <c r="DE16" s="43"/>
      <c r="DF16" s="43"/>
    </row>
    <row r="17" spans="1:110" ht="14">
      <c r="A17" s="27" t="s">
        <v>179</v>
      </c>
      <c r="B17" t="s">
        <v>1715</v>
      </c>
      <c r="C17" s="27" t="s">
        <v>180</v>
      </c>
      <c r="D17" s="27" t="s">
        <v>122</v>
      </c>
      <c r="E17" s="27" t="s">
        <v>122</v>
      </c>
      <c r="F17" s="39">
        <v>46587191489</v>
      </c>
      <c r="G17" s="39">
        <v>1515391</v>
      </c>
      <c r="H17" s="40">
        <v>2022</v>
      </c>
      <c r="I17" s="39">
        <v>1563486.5229</v>
      </c>
      <c r="J17" s="27" t="s">
        <v>94</v>
      </c>
      <c r="K17" s="41">
        <v>2.8266795304142445</v>
      </c>
      <c r="L17" s="39">
        <v>1563486.5229</v>
      </c>
      <c r="M17" s="39">
        <v>1515391</v>
      </c>
      <c r="N17" s="41">
        <v>2.8266795304142445</v>
      </c>
      <c r="O17" s="39">
        <v>1870901.2780603564</v>
      </c>
      <c r="P17" s="39">
        <v>1756268</v>
      </c>
      <c r="Q17" s="41">
        <v>2.9185505436486672</v>
      </c>
      <c r="R17" s="39">
        <v>2135192.3762273877</v>
      </c>
      <c r="S17" s="39">
        <v>1941670</v>
      </c>
      <c r="T17" s="41">
        <v>3.0127890561477373</v>
      </c>
      <c r="U17" s="39">
        <v>2387031.854790126</v>
      </c>
      <c r="V17" s="39">
        <v>2130243</v>
      </c>
      <c r="W17" s="41">
        <v>3.0699846453173962</v>
      </c>
      <c r="X17" s="42">
        <v>0.41260000000000002</v>
      </c>
      <c r="Y17" s="42">
        <v>3.5200000000000002E-2</v>
      </c>
      <c r="Z17" s="42">
        <v>2.24E-2</v>
      </c>
      <c r="AA17" s="42">
        <v>6.9000000000000006E-2</v>
      </c>
      <c r="AB17" s="42">
        <v>0.29980000000000001</v>
      </c>
      <c r="AC17" s="42"/>
      <c r="AD17" s="42"/>
      <c r="AE17" s="42"/>
      <c r="AF17" s="42">
        <v>3.3599999999999998E-2</v>
      </c>
      <c r="AG17" s="42"/>
      <c r="AH17" s="42"/>
      <c r="AI17" s="42"/>
      <c r="AJ17" s="42">
        <v>0.12740000000000001</v>
      </c>
      <c r="AK17" s="39"/>
      <c r="AL17" s="39">
        <v>135279.916</v>
      </c>
      <c r="AM17" s="39">
        <v>457063.06</v>
      </c>
      <c r="AN17" s="39">
        <v>26000</v>
      </c>
      <c r="AO17" s="39">
        <v>18427.63</v>
      </c>
      <c r="AP17" s="39">
        <v>70812.179999999993</v>
      </c>
      <c r="AQ17" s="39"/>
      <c r="AR17" s="39">
        <v>2555</v>
      </c>
      <c r="AS17" s="42"/>
      <c r="AT17" s="42"/>
      <c r="AU17" s="42"/>
      <c r="AV17" s="42"/>
      <c r="AW17" s="42"/>
      <c r="AX17" s="42"/>
      <c r="AY17" s="42">
        <v>1</v>
      </c>
      <c r="AZ17" s="42"/>
      <c r="BA17" s="42"/>
      <c r="BB17" s="42"/>
      <c r="BC17" s="42"/>
      <c r="BD17" s="42"/>
      <c r="BE17" s="42"/>
      <c r="BF17" s="42"/>
      <c r="BG17" s="42">
        <v>0.70721623679177803</v>
      </c>
      <c r="BH17" s="42"/>
      <c r="BI17" s="42">
        <v>4.1189993681908403E-4</v>
      </c>
      <c r="BJ17" s="42">
        <v>0.277436013388485</v>
      </c>
      <c r="BK17" s="42"/>
      <c r="BL17" s="42"/>
      <c r="BM17" s="42"/>
      <c r="BN17" s="42">
        <v>1.4935849882918101E-2</v>
      </c>
      <c r="BO17" s="42"/>
      <c r="BP17" s="42"/>
      <c r="BQ17" s="42"/>
      <c r="BR17" s="42"/>
      <c r="BS17" s="42"/>
      <c r="BT17" s="42"/>
      <c r="BU17" s="42"/>
      <c r="BV17" s="42"/>
      <c r="BW17" s="39">
        <v>41</v>
      </c>
      <c r="BX17" s="39">
        <v>9</v>
      </c>
      <c r="BY17" s="39"/>
      <c r="BZ17" s="39"/>
      <c r="CA17" s="39"/>
      <c r="CB17" s="27" t="s">
        <v>96</v>
      </c>
      <c r="CC17" s="27" t="s">
        <v>96</v>
      </c>
      <c r="CD17" s="27" t="s">
        <v>96</v>
      </c>
      <c r="CE17" s="27" t="s">
        <v>181</v>
      </c>
      <c r="CF17" s="27" t="s">
        <v>96</v>
      </c>
      <c r="CG17" s="27" t="s">
        <v>96</v>
      </c>
      <c r="CH17" s="27"/>
      <c r="CI17" s="27" t="s">
        <v>182</v>
      </c>
      <c r="CJ17" s="27" t="s">
        <v>123</v>
      </c>
      <c r="CK17" s="27"/>
      <c r="CL17" s="27" t="s">
        <v>96</v>
      </c>
      <c r="CM17" s="27" t="s">
        <v>183</v>
      </c>
      <c r="CN17" s="27"/>
      <c r="CO17" s="27"/>
      <c r="CP17" s="27"/>
      <c r="CQ17" s="27"/>
      <c r="CR17" s="43"/>
      <c r="CS17" s="43"/>
      <c r="CT17" s="43"/>
      <c r="CU17" s="43"/>
      <c r="CV17" s="43"/>
      <c r="CW17" s="43"/>
      <c r="CX17" s="43"/>
      <c r="CY17" s="43"/>
      <c r="CZ17" s="43"/>
      <c r="DA17" s="43"/>
      <c r="DB17" s="43"/>
      <c r="DC17" s="43"/>
      <c r="DD17" s="43"/>
      <c r="DE17" s="43"/>
      <c r="DF17" s="43"/>
    </row>
    <row r="18" spans="1:110" ht="14">
      <c r="A18" s="27" t="s">
        <v>184</v>
      </c>
      <c r="B18" s="27" t="s">
        <v>1717</v>
      </c>
      <c r="C18" s="27" t="s">
        <v>185</v>
      </c>
      <c r="D18" s="27" t="s">
        <v>1651</v>
      </c>
      <c r="E18" s="27" t="s">
        <v>1651</v>
      </c>
      <c r="F18" s="39">
        <v>416271647911</v>
      </c>
      <c r="G18" s="39">
        <v>166974426</v>
      </c>
      <c r="H18" s="40">
        <v>2021</v>
      </c>
      <c r="I18" s="39">
        <v>30472832.745000001</v>
      </c>
      <c r="J18" s="27" t="s">
        <v>94</v>
      </c>
      <c r="K18" s="41">
        <v>0.5</v>
      </c>
      <c r="L18" s="39">
        <v>31644328.621925004</v>
      </c>
      <c r="M18" s="39">
        <v>168343283</v>
      </c>
      <c r="N18" s="41">
        <v>0.51500000000000001</v>
      </c>
      <c r="O18" s="39">
        <v>35834220.648211002</v>
      </c>
      <c r="P18" s="39">
        <v>185080492</v>
      </c>
      <c r="Q18" s="41">
        <v>0.53044999999999998</v>
      </c>
      <c r="R18" s="39">
        <v>40265156.41419398</v>
      </c>
      <c r="S18" s="39">
        <v>201908614</v>
      </c>
      <c r="T18" s="41">
        <v>0.5463635</v>
      </c>
      <c r="U18" s="39">
        <v>50663364.472520083</v>
      </c>
      <c r="V18" s="39">
        <v>214180172</v>
      </c>
      <c r="W18" s="41">
        <v>0.64806997297993085</v>
      </c>
      <c r="X18" s="42">
        <v>0.1925</v>
      </c>
      <c r="Y18" s="42">
        <v>5.57E-2</v>
      </c>
      <c r="Z18" s="42">
        <v>9.4899999999999998E-2</v>
      </c>
      <c r="AA18" s="42">
        <v>0.18360000000000001</v>
      </c>
      <c r="AB18" s="42">
        <v>0.17649999999999999</v>
      </c>
      <c r="AC18" s="42">
        <v>9.7000000000000003E-2</v>
      </c>
      <c r="AD18" s="42"/>
      <c r="AE18" s="42">
        <v>4.2299999999999997E-2</v>
      </c>
      <c r="AF18" s="42">
        <v>9.9500000000000005E-2</v>
      </c>
      <c r="AG18" s="42"/>
      <c r="AH18" s="42"/>
      <c r="AI18" s="42"/>
      <c r="AJ18" s="42">
        <v>5.8000000000000003E-2</v>
      </c>
      <c r="AK18" s="39"/>
      <c r="AL18" s="39"/>
      <c r="AM18" s="39"/>
      <c r="AN18" s="39">
        <v>2800000</v>
      </c>
      <c r="AO18" s="39">
        <v>4092400</v>
      </c>
      <c r="AP18" s="39"/>
      <c r="AQ18" s="39"/>
      <c r="AR18" s="39"/>
      <c r="AS18" s="42"/>
      <c r="AT18" s="42"/>
      <c r="AU18" s="42"/>
      <c r="AV18" s="42">
        <v>0.64149999999999996</v>
      </c>
      <c r="AW18" s="42">
        <v>0.63870000000000005</v>
      </c>
      <c r="AX18" s="42"/>
      <c r="AY18" s="42">
        <v>0.77010000000000001</v>
      </c>
      <c r="AZ18" s="42">
        <v>0.80630000000000002</v>
      </c>
      <c r="BA18" s="42"/>
      <c r="BB18" s="42">
        <v>0.85829999999999995</v>
      </c>
      <c r="BC18" s="42">
        <v>0.96960000000000002</v>
      </c>
      <c r="BD18" s="42">
        <v>9.9981199999999992E-3</v>
      </c>
      <c r="BE18" s="42"/>
      <c r="BF18" s="42"/>
      <c r="BG18" s="42">
        <v>0.55013849000000004</v>
      </c>
      <c r="BH18" s="42"/>
      <c r="BI18" s="42"/>
      <c r="BJ18" s="42">
        <v>3.14457E-2</v>
      </c>
      <c r="BK18" s="42">
        <v>2.9026799999999999E-3</v>
      </c>
      <c r="BL18" s="42"/>
      <c r="BM18" s="42"/>
      <c r="BN18" s="42">
        <v>0.20875107000000001</v>
      </c>
      <c r="BO18" s="42">
        <v>0.19370000000000001</v>
      </c>
      <c r="BP18" s="42"/>
      <c r="BQ18" s="42"/>
      <c r="BR18" s="42"/>
      <c r="BS18" s="42"/>
      <c r="BT18" s="42"/>
      <c r="BU18" s="42"/>
      <c r="BV18" s="42"/>
      <c r="BW18" s="39">
        <v>20105</v>
      </c>
      <c r="BX18" s="39">
        <v>4262</v>
      </c>
      <c r="BY18" s="39"/>
      <c r="BZ18" s="39"/>
      <c r="CA18" s="39"/>
      <c r="CB18" s="27" t="s">
        <v>95</v>
      </c>
      <c r="CC18" s="27" t="s">
        <v>96</v>
      </c>
      <c r="CD18" s="27" t="s">
        <v>96</v>
      </c>
      <c r="CE18" s="27" t="s">
        <v>186</v>
      </c>
      <c r="CF18" s="27" t="s">
        <v>96</v>
      </c>
      <c r="CG18" s="27" t="s">
        <v>96</v>
      </c>
      <c r="CH18" s="27" t="s">
        <v>96</v>
      </c>
      <c r="CI18" s="27"/>
      <c r="CJ18" s="27" t="s">
        <v>1627</v>
      </c>
      <c r="CK18" s="27"/>
      <c r="CL18" s="27" t="s">
        <v>96</v>
      </c>
      <c r="CM18" s="27" t="s">
        <v>187</v>
      </c>
      <c r="CN18" s="27" t="s">
        <v>95</v>
      </c>
      <c r="CO18" s="27"/>
      <c r="CP18" s="27"/>
      <c r="CQ18" s="27"/>
      <c r="CR18" s="43" t="s">
        <v>96</v>
      </c>
      <c r="CS18" s="43" t="s">
        <v>96</v>
      </c>
      <c r="CT18" s="43" t="s">
        <v>96</v>
      </c>
      <c r="CU18" s="43"/>
      <c r="CV18" s="43"/>
      <c r="CW18" s="43"/>
      <c r="CX18" s="43"/>
      <c r="CY18" s="43" t="s">
        <v>106</v>
      </c>
      <c r="CZ18" s="43" t="s">
        <v>148</v>
      </c>
      <c r="DA18" s="43" t="s">
        <v>1471</v>
      </c>
      <c r="DB18" s="43"/>
      <c r="DC18" s="43"/>
      <c r="DD18" s="43"/>
      <c r="DE18" s="43"/>
      <c r="DF18" s="43"/>
    </row>
    <row r="19" spans="1:110" ht="14">
      <c r="A19" s="27" t="s">
        <v>188</v>
      </c>
      <c r="B19" s="27" t="s">
        <v>1714</v>
      </c>
      <c r="C19" s="27" t="s">
        <v>189</v>
      </c>
      <c r="D19" s="27" t="s">
        <v>122</v>
      </c>
      <c r="E19" s="27" t="s">
        <v>122</v>
      </c>
      <c r="F19" s="39">
        <v>5275242050</v>
      </c>
      <c r="G19" s="39">
        <v>281953</v>
      </c>
      <c r="H19" s="40">
        <v>2021</v>
      </c>
      <c r="I19" s="39">
        <v>395150.679</v>
      </c>
      <c r="J19" s="27" t="s">
        <v>94</v>
      </c>
      <c r="K19" s="41">
        <v>3.8396633481466771</v>
      </c>
      <c r="L19" s="39">
        <v>407563.84216562979</v>
      </c>
      <c r="M19" s="39">
        <v>282340</v>
      </c>
      <c r="N19" s="41">
        <v>3.9548532485910775</v>
      </c>
      <c r="O19" s="39">
        <v>458588.29428208468</v>
      </c>
      <c r="P19" s="39">
        <v>282616</v>
      </c>
      <c r="Q19" s="41">
        <v>4.4456304161984512</v>
      </c>
      <c r="R19" s="39">
        <v>500360.23666661797</v>
      </c>
      <c r="S19" s="39">
        <v>276841</v>
      </c>
      <c r="T19" s="41">
        <v>4.9517591811551984</v>
      </c>
      <c r="U19" s="39">
        <v>532955.25924971607</v>
      </c>
      <c r="V19" s="39">
        <v>264882</v>
      </c>
      <c r="W19" s="41">
        <v>5.5124598696955687</v>
      </c>
      <c r="X19" s="42">
        <v>0.31900000000000001</v>
      </c>
      <c r="Y19" s="42">
        <v>4.9000000000000002E-2</v>
      </c>
      <c r="Z19" s="42">
        <v>4.5999999999999999E-2</v>
      </c>
      <c r="AA19" s="42">
        <v>0.187</v>
      </c>
      <c r="AB19" s="42">
        <v>0.128</v>
      </c>
      <c r="AC19" s="42"/>
      <c r="AD19" s="42"/>
      <c r="AE19" s="42"/>
      <c r="AF19" s="42">
        <v>8.6999999999999994E-2</v>
      </c>
      <c r="AG19" s="42"/>
      <c r="AH19" s="42"/>
      <c r="AI19" s="42">
        <v>8.0000000000000002E-3</v>
      </c>
      <c r="AJ19" s="42">
        <f>6.4%+9.8%</f>
        <v>0.16200000000000001</v>
      </c>
      <c r="AK19" s="39"/>
      <c r="AL19" s="39"/>
      <c r="AM19" s="39"/>
      <c r="AN19" s="39">
        <v>4000</v>
      </c>
      <c r="AO19" s="39"/>
      <c r="AP19" s="39"/>
      <c r="AQ19" s="39"/>
      <c r="AR19" s="39"/>
      <c r="AS19" s="42"/>
      <c r="AT19" s="42"/>
      <c r="AU19" s="42"/>
      <c r="AV19" s="42"/>
      <c r="AW19" s="42"/>
      <c r="AX19" s="42"/>
      <c r="AY19" s="42"/>
      <c r="AZ19" s="42">
        <v>0.9</v>
      </c>
      <c r="BA19" s="42"/>
      <c r="BB19" s="42"/>
      <c r="BC19" s="42"/>
      <c r="BD19" s="42"/>
      <c r="BE19" s="42">
        <v>0.80259999999999998</v>
      </c>
      <c r="BF19" s="42"/>
      <c r="BG19" s="42"/>
      <c r="BH19" s="42"/>
      <c r="BI19" s="42"/>
      <c r="BJ19" s="42">
        <v>4.2799999999999998E-2</v>
      </c>
      <c r="BK19" s="42"/>
      <c r="BL19" s="42"/>
      <c r="BM19" s="42"/>
      <c r="BN19" s="42"/>
      <c r="BO19" s="42">
        <v>0.1</v>
      </c>
      <c r="BP19" s="42">
        <v>5.5399999999999998E-2</v>
      </c>
      <c r="BQ19" s="42"/>
      <c r="BR19" s="42"/>
      <c r="BS19" s="42"/>
      <c r="BT19" s="42"/>
      <c r="BU19" s="42"/>
      <c r="BV19" s="42"/>
      <c r="BW19" s="39"/>
      <c r="BX19" s="39"/>
      <c r="BY19" s="39"/>
      <c r="BZ19" s="39"/>
      <c r="CA19" s="39"/>
      <c r="CB19" s="27" t="s">
        <v>95</v>
      </c>
      <c r="CC19" s="27"/>
      <c r="CD19" s="27"/>
      <c r="CE19" s="27"/>
      <c r="CF19" s="27" t="s">
        <v>96</v>
      </c>
      <c r="CG19" s="27"/>
      <c r="CH19" s="27" t="s">
        <v>95</v>
      </c>
      <c r="CI19" s="27" t="s">
        <v>190</v>
      </c>
      <c r="CJ19" s="27" t="s">
        <v>123</v>
      </c>
      <c r="CK19" s="27"/>
      <c r="CL19" s="27" t="s">
        <v>96</v>
      </c>
      <c r="CM19" s="27" t="s">
        <v>191</v>
      </c>
      <c r="CN19" s="27" t="s">
        <v>95</v>
      </c>
      <c r="CO19" s="27"/>
      <c r="CP19" s="27" t="s">
        <v>96</v>
      </c>
      <c r="CQ19" s="27"/>
      <c r="CR19" s="43" t="s">
        <v>96</v>
      </c>
      <c r="CS19" s="43" t="s">
        <v>96</v>
      </c>
      <c r="CT19" s="43"/>
      <c r="CU19" s="43"/>
      <c r="CV19" s="43"/>
      <c r="CW19" s="43"/>
      <c r="CX19" s="43"/>
      <c r="CY19" s="43" t="s">
        <v>106</v>
      </c>
      <c r="CZ19" s="43" t="s">
        <v>148</v>
      </c>
      <c r="DA19" s="43" t="s">
        <v>1471</v>
      </c>
      <c r="DB19" s="43" t="s">
        <v>96</v>
      </c>
      <c r="DC19" s="43" t="s">
        <v>106</v>
      </c>
      <c r="DD19" s="43" t="s">
        <v>1724</v>
      </c>
      <c r="DE19" s="43" t="s">
        <v>106</v>
      </c>
      <c r="DF19" s="43" t="s">
        <v>1470</v>
      </c>
    </row>
    <row r="20" spans="1:110" ht="14">
      <c r="A20" s="27" t="s">
        <v>192</v>
      </c>
      <c r="B20" s="27" t="s">
        <v>1713</v>
      </c>
      <c r="C20" s="27" t="s">
        <v>193</v>
      </c>
      <c r="D20" s="27" t="s">
        <v>1650</v>
      </c>
      <c r="E20" s="27" t="s">
        <v>1650</v>
      </c>
      <c r="F20" s="39">
        <v>73775179924.600006</v>
      </c>
      <c r="G20" s="39">
        <v>9201012</v>
      </c>
      <c r="H20" s="40">
        <v>2022</v>
      </c>
      <c r="I20" s="39">
        <v>3994300</v>
      </c>
      <c r="J20" s="27" t="s">
        <v>194</v>
      </c>
      <c r="K20" s="41">
        <v>1.1893569610856802</v>
      </c>
      <c r="L20" s="39">
        <v>3994300</v>
      </c>
      <c r="M20" s="39">
        <v>9201012</v>
      </c>
      <c r="N20" s="41">
        <v>1.1893569610856802</v>
      </c>
      <c r="O20" s="39">
        <v>3995933.639035522</v>
      </c>
      <c r="P20" s="39">
        <v>8719324</v>
      </c>
      <c r="Q20" s="41">
        <v>1.2555747893549853</v>
      </c>
      <c r="R20" s="39">
        <v>3934083.5551092904</v>
      </c>
      <c r="S20" s="39">
        <v>8094999</v>
      </c>
      <c r="T20" s="41">
        <v>1.3314777568086749</v>
      </c>
      <c r="U20" s="39">
        <v>3843349.7935670251</v>
      </c>
      <c r="V20" s="39">
        <v>7485739</v>
      </c>
      <c r="W20" s="41">
        <v>1.4066380703130934</v>
      </c>
      <c r="X20" s="42"/>
      <c r="Y20" s="42"/>
      <c r="Z20" s="42"/>
      <c r="AA20" s="42"/>
      <c r="AB20" s="42"/>
      <c r="AC20" s="42"/>
      <c r="AD20" s="42"/>
      <c r="AE20" s="42"/>
      <c r="AF20" s="42"/>
      <c r="AG20" s="42"/>
      <c r="AH20" s="42"/>
      <c r="AI20" s="42"/>
      <c r="AJ20" s="42"/>
      <c r="AK20" s="39"/>
      <c r="AL20" s="39">
        <v>702800</v>
      </c>
      <c r="AM20" s="39">
        <v>1713200</v>
      </c>
      <c r="AN20" s="39">
        <v>111000</v>
      </c>
      <c r="AO20" s="39">
        <v>2287200</v>
      </c>
      <c r="AP20" s="39">
        <v>27890600</v>
      </c>
      <c r="AQ20" s="39">
        <v>1675600</v>
      </c>
      <c r="AR20" s="39"/>
      <c r="AS20" s="42"/>
      <c r="AT20" s="42"/>
      <c r="AU20" s="42"/>
      <c r="AV20" s="42">
        <v>1</v>
      </c>
      <c r="AW20" s="42"/>
      <c r="AX20" s="42"/>
      <c r="AY20" s="42">
        <v>1</v>
      </c>
      <c r="AZ20" s="42"/>
      <c r="BA20" s="42"/>
      <c r="BB20" s="42">
        <v>1</v>
      </c>
      <c r="BC20" s="42"/>
      <c r="BD20" s="42"/>
      <c r="BE20" s="42"/>
      <c r="BF20" s="42"/>
      <c r="BG20" s="42">
        <v>0.66090000000000004</v>
      </c>
      <c r="BH20" s="42"/>
      <c r="BI20" s="42"/>
      <c r="BJ20" s="42">
        <v>0.33900000000000002</v>
      </c>
      <c r="BK20" s="42"/>
      <c r="BL20" s="42"/>
      <c r="BM20" s="42"/>
      <c r="BN20" s="42"/>
      <c r="BO20" s="42"/>
      <c r="BP20" s="42"/>
      <c r="BQ20" s="42"/>
      <c r="BR20" s="42"/>
      <c r="BS20" s="42"/>
      <c r="BT20" s="42"/>
      <c r="BU20" s="42"/>
      <c r="BV20" s="42"/>
      <c r="BW20" s="39"/>
      <c r="BX20" s="39"/>
      <c r="BY20" s="39"/>
      <c r="BZ20" s="39"/>
      <c r="CA20" s="39"/>
      <c r="CB20" s="27" t="s">
        <v>96</v>
      </c>
      <c r="CC20" s="27" t="s">
        <v>96</v>
      </c>
      <c r="CD20" s="27" t="s">
        <v>96</v>
      </c>
      <c r="CE20" s="27" t="s">
        <v>195</v>
      </c>
      <c r="CF20" s="27" t="s">
        <v>96</v>
      </c>
      <c r="CG20" s="27" t="s">
        <v>96</v>
      </c>
      <c r="CH20" s="27" t="s">
        <v>96</v>
      </c>
      <c r="CI20" s="27"/>
      <c r="CJ20" s="27" t="s">
        <v>1548</v>
      </c>
      <c r="CK20" s="27"/>
      <c r="CL20" s="27" t="s">
        <v>96</v>
      </c>
      <c r="CM20" s="27" t="s">
        <v>196</v>
      </c>
      <c r="CN20" s="27" t="s">
        <v>96</v>
      </c>
      <c r="CO20" s="27"/>
      <c r="CP20" s="27" t="s">
        <v>96</v>
      </c>
      <c r="CQ20" s="27"/>
      <c r="CR20" s="43" t="s">
        <v>96</v>
      </c>
      <c r="CS20" s="43" t="s">
        <v>96</v>
      </c>
      <c r="CT20" s="43"/>
      <c r="CU20" s="43"/>
      <c r="CV20" s="43" t="s">
        <v>96</v>
      </c>
      <c r="CW20" s="43" t="s">
        <v>96</v>
      </c>
      <c r="CX20" s="43" t="s">
        <v>96</v>
      </c>
      <c r="CY20" s="43" t="s">
        <v>106</v>
      </c>
      <c r="CZ20" s="43" t="s">
        <v>106</v>
      </c>
      <c r="DA20" s="43" t="s">
        <v>197</v>
      </c>
      <c r="DB20" s="43" t="s">
        <v>96</v>
      </c>
      <c r="DC20" s="43" t="s">
        <v>168</v>
      </c>
      <c r="DD20" s="43" t="s">
        <v>1472</v>
      </c>
      <c r="DE20" s="43" t="s">
        <v>198</v>
      </c>
      <c r="DF20" s="43" t="s">
        <v>197</v>
      </c>
    </row>
    <row r="21" spans="1:110" ht="14">
      <c r="A21" s="27" t="s">
        <v>199</v>
      </c>
      <c r="B21" s="27" t="s">
        <v>1713</v>
      </c>
      <c r="C21" s="27" t="s">
        <v>200</v>
      </c>
      <c r="D21" s="27" t="s">
        <v>122</v>
      </c>
      <c r="E21" s="27" t="s">
        <v>122</v>
      </c>
      <c r="F21" s="39">
        <v>593614574326</v>
      </c>
      <c r="G21" s="39">
        <v>11585536</v>
      </c>
      <c r="H21" s="40">
        <v>2022</v>
      </c>
      <c r="I21" s="39">
        <v>7915113</v>
      </c>
      <c r="J21" s="27" t="s">
        <v>94</v>
      </c>
      <c r="K21" s="41">
        <v>1.8717512159895244</v>
      </c>
      <c r="L21" s="39">
        <v>7915113.0000000009</v>
      </c>
      <c r="M21" s="39">
        <v>11585536</v>
      </c>
      <c r="N21" s="41">
        <v>1.8717512159895244</v>
      </c>
      <c r="O21" s="39">
        <v>8325041.0567639368</v>
      </c>
      <c r="P21" s="39">
        <v>11819429</v>
      </c>
      <c r="Q21" s="41">
        <v>1.9297321099324638</v>
      </c>
      <c r="R21" s="39">
        <v>8574184.9520945773</v>
      </c>
      <c r="S21" s="39">
        <v>11890380</v>
      </c>
      <c r="T21" s="41">
        <v>1.9756237964616306</v>
      </c>
      <c r="U21" s="39">
        <v>8707283.9065977689</v>
      </c>
      <c r="V21" s="39">
        <v>11876181</v>
      </c>
      <c r="W21" s="41">
        <v>2.0086905333324916</v>
      </c>
      <c r="X21" s="42">
        <v>0.36809999999999998</v>
      </c>
      <c r="Y21" s="42">
        <v>1.8100000000000002E-2</v>
      </c>
      <c r="Z21" s="42">
        <v>2.3800000000000002E-2</v>
      </c>
      <c r="AA21" s="42">
        <v>0.14749999999999999</v>
      </c>
      <c r="AB21" s="42">
        <v>0.1242</v>
      </c>
      <c r="AC21" s="42"/>
      <c r="AD21" s="42">
        <v>1.03E-2</v>
      </c>
      <c r="AE21" s="42">
        <v>2.3400000000000001E-2</v>
      </c>
      <c r="AF21" s="42">
        <v>4.4400000000000002E-2</v>
      </c>
      <c r="AG21" s="42">
        <v>5.3E-3</v>
      </c>
      <c r="AH21" s="42"/>
      <c r="AI21" s="42">
        <v>0.10150000000000001</v>
      </c>
      <c r="AJ21" s="42">
        <v>0.13159999999999999</v>
      </c>
      <c r="AK21" s="39"/>
      <c r="AL21" s="39">
        <v>417301</v>
      </c>
      <c r="AM21" s="39">
        <v>20727780</v>
      </c>
      <c r="AN21" s="39">
        <v>252000</v>
      </c>
      <c r="AO21" s="39">
        <v>3279113.77297692</v>
      </c>
      <c r="AP21" s="39">
        <v>14223622</v>
      </c>
      <c r="AQ21" s="39">
        <v>16170</v>
      </c>
      <c r="AR21" s="39">
        <v>76813</v>
      </c>
      <c r="AS21" s="42"/>
      <c r="AT21" s="42"/>
      <c r="AU21" s="42"/>
      <c r="AV21" s="42"/>
      <c r="AW21" s="42"/>
      <c r="AX21" s="42"/>
      <c r="AY21" s="42"/>
      <c r="AZ21" s="42"/>
      <c r="BA21" s="42"/>
      <c r="BB21" s="42"/>
      <c r="BC21" s="42"/>
      <c r="BD21" s="42"/>
      <c r="BE21" s="42"/>
      <c r="BF21" s="42">
        <v>1.7687681780411699E-3</v>
      </c>
      <c r="BG21" s="42"/>
      <c r="BH21" s="42"/>
      <c r="BI21" s="42">
        <v>0.185467977526032</v>
      </c>
      <c r="BJ21" s="42">
        <v>0.33278109864003202</v>
      </c>
      <c r="BK21" s="42">
        <v>0.46139581330045398</v>
      </c>
      <c r="BL21" s="42"/>
      <c r="BM21" s="42"/>
      <c r="BN21" s="42">
        <v>8.8999999999999999E-3</v>
      </c>
      <c r="BO21" s="42"/>
      <c r="BP21" s="42">
        <v>9.7283638660770107E-3</v>
      </c>
      <c r="BQ21" s="42"/>
      <c r="BR21" s="42"/>
      <c r="BS21" s="42"/>
      <c r="BT21" s="42"/>
      <c r="BU21" s="42"/>
      <c r="BV21" s="42"/>
      <c r="BW21" s="39">
        <v>12857</v>
      </c>
      <c r="BX21" s="39"/>
      <c r="BY21" s="39"/>
      <c r="BZ21" s="39"/>
      <c r="CA21" s="39"/>
      <c r="CB21" s="27" t="s">
        <v>96</v>
      </c>
      <c r="CC21" s="27" t="s">
        <v>96</v>
      </c>
      <c r="CD21" s="27" t="s">
        <v>96</v>
      </c>
      <c r="CE21" s="27" t="s">
        <v>201</v>
      </c>
      <c r="CF21" s="27" t="s">
        <v>96</v>
      </c>
      <c r="CG21" s="27" t="s">
        <v>96</v>
      </c>
      <c r="CH21" s="27" t="s">
        <v>96</v>
      </c>
      <c r="CI21" s="27"/>
      <c r="CJ21" s="27" t="s">
        <v>1549</v>
      </c>
      <c r="CK21" s="27"/>
      <c r="CL21" s="27" t="s">
        <v>96</v>
      </c>
      <c r="CM21" s="27" t="s">
        <v>202</v>
      </c>
      <c r="CN21" s="27" t="s">
        <v>96</v>
      </c>
      <c r="CO21" s="27"/>
      <c r="CP21" s="27" t="s">
        <v>95</v>
      </c>
      <c r="CQ21" s="27"/>
      <c r="CR21" s="43" t="s">
        <v>96</v>
      </c>
      <c r="CS21" s="43" t="s">
        <v>96</v>
      </c>
      <c r="CT21" s="43"/>
      <c r="CU21" s="43" t="s">
        <v>96</v>
      </c>
      <c r="CV21" s="43" t="s">
        <v>96</v>
      </c>
      <c r="CW21" s="43" t="s">
        <v>96</v>
      </c>
      <c r="CX21" s="43" t="s">
        <v>96</v>
      </c>
      <c r="CY21" s="43" t="s">
        <v>1723</v>
      </c>
      <c r="CZ21" s="43" t="s">
        <v>109</v>
      </c>
      <c r="DA21" s="43" t="s">
        <v>1470</v>
      </c>
      <c r="DB21" s="43" t="s">
        <v>96</v>
      </c>
      <c r="DC21" s="43" t="s">
        <v>168</v>
      </c>
      <c r="DD21" s="43" t="s">
        <v>1069</v>
      </c>
      <c r="DE21" s="43" t="s">
        <v>148</v>
      </c>
      <c r="DF21" s="43" t="s">
        <v>107</v>
      </c>
    </row>
    <row r="22" spans="1:110" ht="14">
      <c r="A22" s="27" t="s">
        <v>204</v>
      </c>
      <c r="B22" s="27" t="s">
        <v>1714</v>
      </c>
      <c r="C22" s="27" t="s">
        <v>205</v>
      </c>
      <c r="D22" s="27" t="s">
        <v>1650</v>
      </c>
      <c r="E22" s="27" t="s">
        <v>1650</v>
      </c>
      <c r="F22" s="39">
        <v>2193050000</v>
      </c>
      <c r="G22" s="39">
        <v>352581</v>
      </c>
      <c r="H22" s="40">
        <v>2015</v>
      </c>
      <c r="I22" s="39">
        <v>100000</v>
      </c>
      <c r="J22" s="27" t="s">
        <v>94</v>
      </c>
      <c r="K22" s="41">
        <v>0.77704868594656551</v>
      </c>
      <c r="L22" s="39">
        <v>113813.5086468599</v>
      </c>
      <c r="M22" s="39">
        <v>397352</v>
      </c>
      <c r="N22" s="41">
        <v>0.78473955563129216</v>
      </c>
      <c r="O22" s="39">
        <v>145062.74397013799</v>
      </c>
      <c r="P22" s="39">
        <v>447372</v>
      </c>
      <c r="Q22" s="41">
        <v>0.88837069655823797</v>
      </c>
      <c r="R22" s="39">
        <v>183717.75589254685</v>
      </c>
      <c r="S22" s="39">
        <v>489990</v>
      </c>
      <c r="T22" s="41">
        <v>1.0272379385575765</v>
      </c>
      <c r="U22" s="39">
        <v>225531.62257823307</v>
      </c>
      <c r="V22" s="39">
        <v>515684.99999999994</v>
      </c>
      <c r="W22" s="41">
        <v>1.1982021124886719</v>
      </c>
      <c r="X22" s="42">
        <v>0.4</v>
      </c>
      <c r="Y22" s="42">
        <v>0.06</v>
      </c>
      <c r="Z22" s="42">
        <v>0.03</v>
      </c>
      <c r="AA22" s="42">
        <v>0.08</v>
      </c>
      <c r="AB22" s="42">
        <v>0.17</v>
      </c>
      <c r="AC22" s="42"/>
      <c r="AD22" s="42"/>
      <c r="AE22" s="42"/>
      <c r="AF22" s="42"/>
      <c r="AG22" s="42">
        <v>2.3E-2</v>
      </c>
      <c r="AH22" s="42">
        <v>0.01</v>
      </c>
      <c r="AI22" s="42">
        <v>0.18</v>
      </c>
      <c r="AJ22" s="42">
        <v>0.05</v>
      </c>
      <c r="AK22" s="39">
        <v>70000</v>
      </c>
      <c r="AL22" s="39"/>
      <c r="AM22" s="39"/>
      <c r="AN22" s="39">
        <v>3000</v>
      </c>
      <c r="AO22" s="39"/>
      <c r="AP22" s="39"/>
      <c r="AQ22" s="39"/>
      <c r="AR22" s="39"/>
      <c r="AS22" s="42"/>
      <c r="AT22" s="42"/>
      <c r="AU22" s="42"/>
      <c r="AV22" s="42"/>
      <c r="AW22" s="42"/>
      <c r="AX22" s="42"/>
      <c r="AY22" s="42"/>
      <c r="AZ22" s="42">
        <v>0.72770000000000001</v>
      </c>
      <c r="BA22" s="42"/>
      <c r="BB22" s="42"/>
      <c r="BC22" s="42"/>
      <c r="BD22" s="42">
        <v>0.72770000000000001</v>
      </c>
      <c r="BE22" s="42"/>
      <c r="BF22" s="42"/>
      <c r="BG22" s="42"/>
      <c r="BH22" s="42"/>
      <c r="BI22" s="42"/>
      <c r="BJ22" s="42"/>
      <c r="BK22" s="42"/>
      <c r="BL22" s="42"/>
      <c r="BM22" s="42"/>
      <c r="BN22" s="42"/>
      <c r="BO22" s="42">
        <v>0.27229999999999999</v>
      </c>
      <c r="BP22" s="42"/>
      <c r="BQ22" s="42">
        <v>8.2568807339449504E-2</v>
      </c>
      <c r="BR22" s="42">
        <v>0.82874617737003098</v>
      </c>
      <c r="BS22" s="42">
        <v>3.3639143730886799E-2</v>
      </c>
      <c r="BT22" s="42">
        <v>6.1162079510703399E-3</v>
      </c>
      <c r="BU22" s="42">
        <v>9.1743119266054999E-3</v>
      </c>
      <c r="BV22" s="42">
        <v>3.97553516819572E-2</v>
      </c>
      <c r="BW22" s="39"/>
      <c r="BX22" s="39"/>
      <c r="BY22" s="39"/>
      <c r="BZ22" s="39"/>
      <c r="CA22" s="39"/>
      <c r="CB22" s="27" t="s">
        <v>96</v>
      </c>
      <c r="CC22" s="27" t="s">
        <v>96</v>
      </c>
      <c r="CD22" s="27" t="s">
        <v>206</v>
      </c>
      <c r="CE22" s="27" t="s">
        <v>207</v>
      </c>
      <c r="CF22" s="27" t="s">
        <v>96</v>
      </c>
      <c r="CG22" s="27" t="s">
        <v>96</v>
      </c>
      <c r="CH22" s="27" t="s">
        <v>96</v>
      </c>
      <c r="CI22" s="27" t="s">
        <v>208</v>
      </c>
      <c r="CJ22" s="27" t="s">
        <v>209</v>
      </c>
      <c r="CK22" s="27"/>
      <c r="CL22" s="27" t="s">
        <v>96</v>
      </c>
      <c r="CM22" s="43" t="s">
        <v>210</v>
      </c>
      <c r="CN22" s="27"/>
      <c r="CO22" s="27"/>
      <c r="CP22" s="27" t="s">
        <v>96</v>
      </c>
      <c r="CQ22" s="27" t="s">
        <v>211</v>
      </c>
      <c r="CR22" s="43"/>
      <c r="CS22" s="43"/>
      <c r="CT22" s="43"/>
      <c r="CU22" s="43"/>
      <c r="CV22" s="43"/>
      <c r="CW22" s="43"/>
      <c r="CX22" s="43"/>
      <c r="CY22" s="43"/>
      <c r="CZ22" s="43"/>
      <c r="DA22" s="43"/>
      <c r="DB22" s="43" t="s">
        <v>96</v>
      </c>
      <c r="DC22" s="43" t="s">
        <v>106</v>
      </c>
      <c r="DD22" s="43" t="s">
        <v>1472</v>
      </c>
      <c r="DE22" s="43" t="s">
        <v>106</v>
      </c>
      <c r="DF22" s="43" t="s">
        <v>1470</v>
      </c>
    </row>
    <row r="23" spans="1:110" ht="14">
      <c r="A23" s="27" t="s">
        <v>212</v>
      </c>
      <c r="B23" s="33" t="s">
        <v>1693</v>
      </c>
      <c r="C23" s="27" t="s">
        <v>213</v>
      </c>
      <c r="D23" s="27"/>
      <c r="E23" s="27" t="s">
        <v>1651</v>
      </c>
      <c r="F23" s="44"/>
      <c r="G23" s="39">
        <v>13584835</v>
      </c>
      <c r="H23" s="40" t="s">
        <v>123</v>
      </c>
      <c r="I23" s="39" t="s">
        <v>1620</v>
      </c>
      <c r="J23" s="27"/>
      <c r="K23" s="41">
        <v>0</v>
      </c>
      <c r="L23" s="39">
        <v>1492997.6911930081</v>
      </c>
      <c r="M23" s="39">
        <v>13584835</v>
      </c>
      <c r="N23" s="41">
        <v>0.30110079610135138</v>
      </c>
      <c r="O23" s="39">
        <v>1860608.878479202</v>
      </c>
      <c r="P23" s="39">
        <v>16436642</v>
      </c>
      <c r="Q23" s="41">
        <v>0.31013381998439193</v>
      </c>
      <c r="R23" s="39">
        <v>2360734.9858644479</v>
      </c>
      <c r="S23" s="39">
        <v>20247342</v>
      </c>
      <c r="T23" s="41">
        <v>0.31943783458392372</v>
      </c>
      <c r="U23" s="39">
        <v>3599344.3583407444</v>
      </c>
      <c r="V23" s="39">
        <v>24236532</v>
      </c>
      <c r="W23" s="41">
        <v>0.4068741113667429</v>
      </c>
      <c r="X23" s="42">
        <v>0.52129999999999999</v>
      </c>
      <c r="Y23" s="42">
        <v>1.6E-2</v>
      </c>
      <c r="Z23" s="42">
        <v>1.5599999999999999E-2</v>
      </c>
      <c r="AA23" s="42">
        <v>3.1399999999999997E-2</v>
      </c>
      <c r="AB23" s="42">
        <v>7.2599999999999998E-2</v>
      </c>
      <c r="AC23" s="42"/>
      <c r="AD23" s="42"/>
      <c r="AE23" s="42"/>
      <c r="AF23" s="42">
        <v>1.14E-2</v>
      </c>
      <c r="AG23" s="42"/>
      <c r="AH23" s="42"/>
      <c r="AI23" s="42"/>
      <c r="AJ23" s="42">
        <v>0.33200000000000002</v>
      </c>
      <c r="AK23" s="39"/>
      <c r="AL23" s="39"/>
      <c r="AM23" s="39"/>
      <c r="AN23" s="39">
        <v>14000</v>
      </c>
      <c r="AO23" s="39"/>
      <c r="AP23" s="39"/>
      <c r="AQ23" s="39"/>
      <c r="AR23" s="39">
        <v>1694</v>
      </c>
      <c r="AS23" s="42"/>
      <c r="AT23" s="42"/>
      <c r="AU23" s="42"/>
      <c r="AV23" s="42"/>
      <c r="AW23" s="42"/>
      <c r="AX23" s="42"/>
      <c r="AY23" s="42"/>
      <c r="AZ23" s="42"/>
      <c r="BA23" s="42"/>
      <c r="BB23" s="42"/>
      <c r="BC23" s="42"/>
      <c r="BD23" s="42"/>
      <c r="BE23" s="42"/>
      <c r="BF23" s="42"/>
      <c r="BG23" s="42"/>
      <c r="BH23" s="42"/>
      <c r="BI23" s="42"/>
      <c r="BJ23" s="42">
        <v>0.25</v>
      </c>
      <c r="BK23" s="42"/>
      <c r="BL23" s="42"/>
      <c r="BM23" s="42"/>
      <c r="BN23" s="42"/>
      <c r="BO23" s="42"/>
      <c r="BP23" s="42">
        <v>0.75</v>
      </c>
      <c r="BQ23" s="42">
        <v>0.19900000000000001</v>
      </c>
      <c r="BR23" s="42">
        <v>4.7E-2</v>
      </c>
      <c r="BS23" s="42">
        <v>0.01</v>
      </c>
      <c r="BT23" s="42"/>
      <c r="BU23" s="42"/>
      <c r="BV23" s="42">
        <v>0.74399999999999999</v>
      </c>
      <c r="BW23" s="39"/>
      <c r="BX23" s="39"/>
      <c r="BY23" s="39"/>
      <c r="BZ23" s="39"/>
      <c r="CA23" s="39"/>
      <c r="CB23" s="27" t="s">
        <v>96</v>
      </c>
      <c r="CC23" s="27" t="s">
        <v>96</v>
      </c>
      <c r="CD23" s="27" t="s">
        <v>96</v>
      </c>
      <c r="CE23" s="27" t="s">
        <v>214</v>
      </c>
      <c r="CF23" s="27" t="s">
        <v>96</v>
      </c>
      <c r="CG23" s="27" t="s">
        <v>96</v>
      </c>
      <c r="CH23" s="27" t="s">
        <v>95</v>
      </c>
      <c r="CI23" s="27" t="s">
        <v>95</v>
      </c>
      <c r="CJ23" s="27" t="s">
        <v>123</v>
      </c>
      <c r="CK23" s="27" t="s">
        <v>95</v>
      </c>
      <c r="CL23" s="27" t="s">
        <v>96</v>
      </c>
      <c r="CM23" s="43" t="s">
        <v>215</v>
      </c>
      <c r="CN23" s="27"/>
      <c r="CO23" s="27"/>
      <c r="CP23" s="27"/>
      <c r="CQ23" s="27"/>
      <c r="CR23" s="43"/>
      <c r="CS23" s="43"/>
      <c r="CT23" s="43"/>
      <c r="CU23" s="43"/>
      <c r="CV23" s="43"/>
      <c r="CW23" s="43"/>
      <c r="CX23" s="43"/>
      <c r="CY23" s="43"/>
      <c r="CZ23" s="43"/>
      <c r="DA23" s="43"/>
      <c r="DB23" s="43"/>
      <c r="DC23" s="43"/>
      <c r="DD23" s="43"/>
      <c r="DE23" s="43"/>
      <c r="DF23" s="43"/>
    </row>
    <row r="24" spans="1:110" ht="14">
      <c r="A24" s="27" t="s">
        <v>216</v>
      </c>
      <c r="B24" s="33" t="s">
        <v>1716</v>
      </c>
      <c r="C24" s="27" t="s">
        <v>218</v>
      </c>
      <c r="D24" s="27" t="s">
        <v>122</v>
      </c>
      <c r="E24" s="27" t="s">
        <v>122</v>
      </c>
      <c r="F24" s="39">
        <v>7290037000</v>
      </c>
      <c r="G24" s="39">
        <v>64522.999999999993</v>
      </c>
      <c r="H24" s="40">
        <v>2021</v>
      </c>
      <c r="I24" s="39">
        <v>73200</v>
      </c>
      <c r="J24" s="27" t="s">
        <v>94</v>
      </c>
      <c r="K24" s="41">
        <v>3.1081621314179357</v>
      </c>
      <c r="L24" s="39">
        <v>74404.168397083064</v>
      </c>
      <c r="M24" s="39">
        <v>64772.999999999993</v>
      </c>
      <c r="N24" s="41">
        <v>3.1470988946681047</v>
      </c>
      <c r="O24" s="39">
        <v>74405.771892218938</v>
      </c>
      <c r="P24" s="39">
        <v>63957</v>
      </c>
      <c r="Q24" s="41">
        <v>3.1873200719498374</v>
      </c>
      <c r="R24" s="39">
        <v>72055.104872227588</v>
      </c>
      <c r="S24" s="39">
        <v>61389</v>
      </c>
      <c r="T24" s="41">
        <v>3.2157429869403491</v>
      </c>
      <c r="U24" s="39">
        <v>67665.2582601834</v>
      </c>
      <c r="V24" s="39">
        <v>57184</v>
      </c>
      <c r="W24" s="41">
        <v>3.2418905499087494</v>
      </c>
      <c r="X24" s="42">
        <v>0.24</v>
      </c>
      <c r="Y24" s="42">
        <v>0.13</v>
      </c>
      <c r="Z24" s="42">
        <v>0.05</v>
      </c>
      <c r="AA24" s="42">
        <v>0.27</v>
      </c>
      <c r="AB24" s="42">
        <v>0.19</v>
      </c>
      <c r="AC24" s="42"/>
      <c r="AD24" s="42"/>
      <c r="AE24" s="42"/>
      <c r="AF24" s="42">
        <v>0.04</v>
      </c>
      <c r="AG24" s="42"/>
      <c r="AH24" s="42"/>
      <c r="AI24" s="42"/>
      <c r="AJ24" s="42">
        <v>0.08</v>
      </c>
      <c r="AK24" s="39"/>
      <c r="AL24" s="39"/>
      <c r="AM24" s="39"/>
      <c r="AN24" s="39"/>
      <c r="AO24" s="39">
        <v>816</v>
      </c>
      <c r="AP24" s="39"/>
      <c r="AQ24" s="39"/>
      <c r="AR24" s="39"/>
      <c r="AS24" s="42"/>
      <c r="AT24" s="42"/>
      <c r="AU24" s="42"/>
      <c r="AV24" s="42">
        <v>1</v>
      </c>
      <c r="AW24" s="42"/>
      <c r="AX24" s="42"/>
      <c r="AY24" s="42">
        <v>1</v>
      </c>
      <c r="AZ24" s="42"/>
      <c r="BA24" s="42"/>
      <c r="BB24" s="42">
        <v>1</v>
      </c>
      <c r="BC24" s="42"/>
      <c r="BD24" s="42"/>
      <c r="BE24" s="42"/>
      <c r="BF24" s="42"/>
      <c r="BG24" s="42">
        <v>0.13698630136986301</v>
      </c>
      <c r="BH24" s="42"/>
      <c r="BI24" s="42">
        <v>0.19178082191780799</v>
      </c>
      <c r="BJ24" s="42">
        <v>1.6438356164383602E-2</v>
      </c>
      <c r="BK24" s="42">
        <v>0.65479452054794496</v>
      </c>
      <c r="BL24" s="42"/>
      <c r="BM24" s="42"/>
      <c r="BN24" s="42"/>
      <c r="BO24" s="42"/>
      <c r="BP24" s="42"/>
      <c r="BQ24" s="42"/>
      <c r="BR24" s="42"/>
      <c r="BS24" s="42"/>
      <c r="BT24" s="42"/>
      <c r="BU24" s="42"/>
      <c r="BV24" s="42"/>
      <c r="BW24" s="39"/>
      <c r="BX24" s="39"/>
      <c r="BY24" s="39"/>
      <c r="BZ24" s="39"/>
      <c r="CA24" s="39"/>
      <c r="CB24" s="27" t="s">
        <v>96</v>
      </c>
      <c r="CC24" s="27" t="s">
        <v>95</v>
      </c>
      <c r="CD24" s="27" t="s">
        <v>96</v>
      </c>
      <c r="CE24" s="27" t="s">
        <v>219</v>
      </c>
      <c r="CF24" s="27" t="s">
        <v>96</v>
      </c>
      <c r="CG24" s="27"/>
      <c r="CH24" s="27" t="s">
        <v>96</v>
      </c>
      <c r="CI24" s="27" t="s">
        <v>220</v>
      </c>
      <c r="CJ24" s="27" t="s">
        <v>123</v>
      </c>
      <c r="CK24" s="27"/>
      <c r="CL24" s="27" t="s">
        <v>96</v>
      </c>
      <c r="CM24" s="27" t="s">
        <v>221</v>
      </c>
      <c r="CN24" s="27"/>
      <c r="CO24" s="27"/>
      <c r="CP24" s="27"/>
      <c r="CQ24" s="27"/>
      <c r="CR24" s="43"/>
      <c r="CS24" s="43"/>
      <c r="CT24" s="43"/>
      <c r="CU24" s="43"/>
      <c r="CV24" s="43"/>
      <c r="CW24" s="43"/>
      <c r="CX24" s="43"/>
      <c r="CY24" s="43"/>
      <c r="CZ24" s="43"/>
      <c r="DA24" s="43"/>
      <c r="DB24" s="43"/>
      <c r="DC24" s="43"/>
      <c r="DD24" s="43"/>
      <c r="DE24" s="43"/>
      <c r="DF24" s="43"/>
    </row>
    <row r="25" spans="1:110" ht="14">
      <c r="A25" s="27" t="s">
        <v>222</v>
      </c>
      <c r="B25" s="27" t="s">
        <v>1717</v>
      </c>
      <c r="C25" s="27" t="s">
        <v>223</v>
      </c>
      <c r="D25" s="27" t="s">
        <v>1651</v>
      </c>
      <c r="E25" s="27" t="s">
        <v>1651</v>
      </c>
      <c r="F25" s="39">
        <v>2735683570</v>
      </c>
      <c r="G25" s="39">
        <v>762354</v>
      </c>
      <c r="H25" s="40">
        <v>2019</v>
      </c>
      <c r="I25" s="39">
        <v>60377.7</v>
      </c>
      <c r="J25" s="27" t="s">
        <v>152</v>
      </c>
      <c r="K25" s="41">
        <v>0.21698365347907081</v>
      </c>
      <c r="L25" s="39">
        <v>60387.525207219798</v>
      </c>
      <c r="M25" s="39">
        <v>778165</v>
      </c>
      <c r="N25" s="41">
        <v>0.21260950382030572</v>
      </c>
      <c r="O25" s="39">
        <v>72458.532830682292</v>
      </c>
      <c r="P25" s="39">
        <v>818381</v>
      </c>
      <c r="Q25" s="41">
        <v>0.2425722595016736</v>
      </c>
      <c r="R25" s="39">
        <v>87344.563941214568</v>
      </c>
      <c r="S25" s="39">
        <v>860537</v>
      </c>
      <c r="T25" s="41">
        <v>0.2780823778424516</v>
      </c>
      <c r="U25" s="39">
        <v>100123.34224038802</v>
      </c>
      <c r="V25" s="39">
        <v>881833</v>
      </c>
      <c r="W25" s="41">
        <v>0.31106856591440168</v>
      </c>
      <c r="X25" s="42">
        <v>0.43847480112690601</v>
      </c>
      <c r="Y25" s="42">
        <v>6.9287170594441297E-2</v>
      </c>
      <c r="Z25" s="42">
        <v>4.3976501257914802E-2</v>
      </c>
      <c r="AA25" s="42">
        <v>0.122972554436489</v>
      </c>
      <c r="AB25" s="42">
        <v>0.18719494117861399</v>
      </c>
      <c r="AC25" s="42">
        <v>1.7680368745414302E-2</v>
      </c>
      <c r="AD25" s="42">
        <v>1.8099397625282201E-2</v>
      </c>
      <c r="AE25" s="42">
        <v>6.9214296006638197E-3</v>
      </c>
      <c r="AF25" s="42">
        <v>2.64269755224197E-2</v>
      </c>
      <c r="AG25" s="42">
        <v>1.7105653246148801E-2</v>
      </c>
      <c r="AH25" s="42"/>
      <c r="AI25" s="42">
        <v>4.3840689526099902E-2</v>
      </c>
      <c r="AJ25" s="42">
        <v>8.0195171396061794E-3</v>
      </c>
      <c r="AK25" s="39"/>
      <c r="AL25" s="39"/>
      <c r="AM25" s="39"/>
      <c r="AN25" s="39">
        <v>5000</v>
      </c>
      <c r="AO25" s="39">
        <v>359</v>
      </c>
      <c r="AP25" s="39">
        <v>2090.1999999999998</v>
      </c>
      <c r="AQ25" s="39"/>
      <c r="AR25" s="39">
        <v>363.5</v>
      </c>
      <c r="AS25" s="42">
        <v>0.41</v>
      </c>
      <c r="AT25" s="42">
        <v>0.59</v>
      </c>
      <c r="AU25" s="42">
        <v>0.14899999999999999</v>
      </c>
      <c r="AV25" s="42"/>
      <c r="AW25" s="42"/>
      <c r="AX25" s="42">
        <v>0.36859999999999998</v>
      </c>
      <c r="AY25" s="42"/>
      <c r="AZ25" s="42">
        <v>0.67173859110354195</v>
      </c>
      <c r="BA25" s="42">
        <v>0.75119999999999998</v>
      </c>
      <c r="BB25" s="42"/>
      <c r="BC25" s="42"/>
      <c r="BD25" s="42"/>
      <c r="BE25" s="42"/>
      <c r="BF25" s="42"/>
      <c r="BG25" s="42">
        <v>0.42326067132454498</v>
      </c>
      <c r="BH25" s="42"/>
      <c r="BI25" s="42"/>
      <c r="BJ25" s="42">
        <v>0.23726850299722399</v>
      </c>
      <c r="BK25" s="42"/>
      <c r="BL25" s="42"/>
      <c r="BM25" s="42"/>
      <c r="BN25" s="42"/>
      <c r="BO25" s="42">
        <v>0.328261408896458</v>
      </c>
      <c r="BP25" s="42">
        <v>1.12094167817726E-2</v>
      </c>
      <c r="BQ25" s="42">
        <v>2.4199999999999999E-2</v>
      </c>
      <c r="BR25" s="42">
        <v>0.42149999999999999</v>
      </c>
      <c r="BS25" s="42">
        <v>0.49399999999999999</v>
      </c>
      <c r="BT25" s="42"/>
      <c r="BU25" s="42">
        <v>5.4300000000000001E-2</v>
      </c>
      <c r="BV25" s="42">
        <v>6.0000000000000001E-3</v>
      </c>
      <c r="BW25" s="39"/>
      <c r="BX25" s="39"/>
      <c r="BY25" s="39"/>
      <c r="BZ25" s="39"/>
      <c r="CA25" s="39"/>
      <c r="CB25" s="27" t="s">
        <v>95</v>
      </c>
      <c r="CC25" s="27" t="s">
        <v>96</v>
      </c>
      <c r="CD25" s="27" t="s">
        <v>96</v>
      </c>
      <c r="CE25" s="27" t="s">
        <v>224</v>
      </c>
      <c r="CF25" s="27" t="s">
        <v>96</v>
      </c>
      <c r="CG25" s="27" t="s">
        <v>96</v>
      </c>
      <c r="CH25" s="27" t="s">
        <v>95</v>
      </c>
      <c r="CI25" s="27"/>
      <c r="CJ25" s="27" t="s">
        <v>225</v>
      </c>
      <c r="CK25" s="27"/>
      <c r="CL25" s="27"/>
      <c r="CM25" s="27"/>
      <c r="CN25" s="27"/>
      <c r="CO25" s="27"/>
      <c r="CP25" s="27" t="s">
        <v>96</v>
      </c>
      <c r="CQ25" s="27" t="s">
        <v>226</v>
      </c>
      <c r="CR25" s="43"/>
      <c r="CS25" s="43"/>
      <c r="CT25" s="43"/>
      <c r="CU25" s="43"/>
      <c r="CV25" s="43"/>
      <c r="CW25" s="43"/>
      <c r="CX25" s="43"/>
      <c r="CY25" s="43"/>
      <c r="CZ25" s="43"/>
      <c r="DA25" s="43"/>
      <c r="DB25" s="43"/>
      <c r="DC25" s="43"/>
      <c r="DD25" s="43"/>
      <c r="DE25" s="43"/>
      <c r="DF25" s="43"/>
    </row>
    <row r="26" spans="1:110" ht="14">
      <c r="A26" s="27" t="s">
        <v>227</v>
      </c>
      <c r="B26" s="27" t="s">
        <v>1714</v>
      </c>
      <c r="C26" s="27" t="s">
        <v>228</v>
      </c>
      <c r="D26" s="27" t="s">
        <v>1651</v>
      </c>
      <c r="E26" s="27" t="s">
        <v>1651</v>
      </c>
      <c r="F26" s="39">
        <v>44008282880</v>
      </c>
      <c r="G26" s="39">
        <v>11994813</v>
      </c>
      <c r="H26" s="40">
        <v>2022</v>
      </c>
      <c r="I26" s="39">
        <v>3024025</v>
      </c>
      <c r="J26" s="27" t="s">
        <v>94</v>
      </c>
      <c r="K26" s="41">
        <v>0.6907152283241097</v>
      </c>
      <c r="L26" s="39">
        <v>3024025</v>
      </c>
      <c r="M26" s="39">
        <v>11994813</v>
      </c>
      <c r="N26" s="41">
        <v>0.6907152283241097</v>
      </c>
      <c r="O26" s="39">
        <v>3593408.0894506108</v>
      </c>
      <c r="P26" s="39">
        <v>13325045</v>
      </c>
      <c r="Q26" s="41">
        <v>0.73883080092620335</v>
      </c>
      <c r="R26" s="39">
        <v>4617629.6828839751</v>
      </c>
      <c r="S26" s="39">
        <v>14831436</v>
      </c>
      <c r="T26" s="41">
        <v>0.85298822225166759</v>
      </c>
      <c r="U26" s="39">
        <v>6035129.2808133541</v>
      </c>
      <c r="V26" s="39">
        <v>16057289</v>
      </c>
      <c r="W26" s="41">
        <v>1.0297255513898802</v>
      </c>
      <c r="X26" s="42">
        <v>0.59499999999999997</v>
      </c>
      <c r="Y26" s="42">
        <v>2.5000000000000001E-2</v>
      </c>
      <c r="Z26" s="42">
        <v>1.7999999999999999E-2</v>
      </c>
      <c r="AA26" s="42">
        <v>4.8000000000000001E-2</v>
      </c>
      <c r="AB26" s="42">
        <v>0.10100000000000001</v>
      </c>
      <c r="AC26" s="42"/>
      <c r="AD26" s="42"/>
      <c r="AE26" s="42"/>
      <c r="AF26" s="42">
        <v>1.4E-2</v>
      </c>
      <c r="AG26" s="42"/>
      <c r="AH26" s="42">
        <v>8.9999999999999993E-3</v>
      </c>
      <c r="AI26" s="42"/>
      <c r="AJ26" s="42">
        <f>17.5%+1.5%</f>
        <v>0.19</v>
      </c>
      <c r="AK26" s="39">
        <v>57492</v>
      </c>
      <c r="AL26" s="39"/>
      <c r="AM26" s="39"/>
      <c r="AN26" s="39">
        <v>89000</v>
      </c>
      <c r="AO26" s="39"/>
      <c r="AP26" s="39"/>
      <c r="AQ26" s="39"/>
      <c r="AR26" s="39">
        <v>7188</v>
      </c>
      <c r="AS26" s="42"/>
      <c r="AT26" s="42"/>
      <c r="AU26" s="42"/>
      <c r="AV26" s="42"/>
      <c r="AW26" s="42"/>
      <c r="AX26" s="42"/>
      <c r="AY26" s="42">
        <v>0.72</v>
      </c>
      <c r="AZ26" s="42">
        <v>0.70140000000000002</v>
      </c>
      <c r="BA26" s="42"/>
      <c r="BB26" s="42"/>
      <c r="BC26" s="42"/>
      <c r="BD26" s="27"/>
      <c r="BE26" s="42">
        <v>0.32900000000000001</v>
      </c>
      <c r="BF26" s="42">
        <v>0.34200000000000003</v>
      </c>
      <c r="BG26" s="42"/>
      <c r="BH26" s="42"/>
      <c r="BI26" s="42">
        <v>0.08</v>
      </c>
      <c r="BJ26" s="42">
        <v>3.8899999999999997E-2</v>
      </c>
      <c r="BK26" s="42"/>
      <c r="BL26" s="42"/>
      <c r="BM26" s="42"/>
      <c r="BN26" s="42"/>
      <c r="BO26" s="42">
        <v>0.29859999999999998</v>
      </c>
      <c r="BP26" s="42"/>
      <c r="BQ26" s="42"/>
      <c r="BR26" s="42"/>
      <c r="BS26" s="42"/>
      <c r="BT26" s="42"/>
      <c r="BU26" s="42"/>
      <c r="BV26" s="42"/>
      <c r="BW26" s="39">
        <v>10146.75648</v>
      </c>
      <c r="BX26" s="39"/>
      <c r="BY26" s="39">
        <v>15000</v>
      </c>
      <c r="BZ26" s="39">
        <v>5200</v>
      </c>
      <c r="CA26" s="39">
        <v>6200</v>
      </c>
      <c r="CB26" s="27" t="s">
        <v>96</v>
      </c>
      <c r="CC26" s="27" t="s">
        <v>95</v>
      </c>
      <c r="CD26" s="27" t="s">
        <v>96</v>
      </c>
      <c r="CE26" s="27" t="s">
        <v>229</v>
      </c>
      <c r="CF26" s="27" t="s">
        <v>96</v>
      </c>
      <c r="CG26" s="27" t="s">
        <v>96</v>
      </c>
      <c r="CH26" s="27" t="s">
        <v>96</v>
      </c>
      <c r="CI26" s="27" t="s">
        <v>95</v>
      </c>
      <c r="CJ26" s="27" t="s">
        <v>123</v>
      </c>
      <c r="CK26" s="27" t="s">
        <v>95</v>
      </c>
      <c r="CL26" s="27" t="s">
        <v>95</v>
      </c>
      <c r="CM26" s="27"/>
      <c r="CN26" s="27" t="s">
        <v>95</v>
      </c>
      <c r="CO26" s="27"/>
      <c r="CP26" s="27" t="s">
        <v>95</v>
      </c>
      <c r="CQ26" s="27"/>
      <c r="CR26" s="43"/>
      <c r="CS26" s="43"/>
      <c r="CT26" s="43"/>
      <c r="CU26" s="43"/>
      <c r="CV26" s="43"/>
      <c r="CW26" s="43"/>
      <c r="CX26" s="43"/>
      <c r="CY26" s="43"/>
      <c r="CZ26" s="43"/>
      <c r="DA26" s="43"/>
      <c r="DB26" s="43"/>
      <c r="DC26" s="43"/>
      <c r="DD26" s="43"/>
      <c r="DE26" s="43"/>
      <c r="DF26" s="43"/>
    </row>
    <row r="27" spans="1:110" ht="14">
      <c r="A27" s="27" t="s">
        <v>230</v>
      </c>
      <c r="B27" s="27" t="s">
        <v>1713</v>
      </c>
      <c r="C27" s="27" t="s">
        <v>231</v>
      </c>
      <c r="D27" s="27" t="s">
        <v>1650</v>
      </c>
      <c r="E27" s="27" t="s">
        <v>1650</v>
      </c>
      <c r="F27" s="39">
        <v>24534663636.18</v>
      </c>
      <c r="G27" s="39">
        <v>3215138</v>
      </c>
      <c r="H27" s="40">
        <v>2022</v>
      </c>
      <c r="I27" s="39">
        <v>1184449</v>
      </c>
      <c r="J27" s="27" t="s">
        <v>94</v>
      </c>
      <c r="K27" s="41">
        <v>1.0093083884500937</v>
      </c>
      <c r="L27" s="39">
        <v>1184448.9999999998</v>
      </c>
      <c r="M27" s="39">
        <v>3215138</v>
      </c>
      <c r="N27" s="41">
        <v>1.0093083884500937</v>
      </c>
      <c r="O27" s="39">
        <v>1296961.074236755</v>
      </c>
      <c r="P27" s="39">
        <v>3025938</v>
      </c>
      <c r="Q27" s="41">
        <v>1.1742864564996203</v>
      </c>
      <c r="R27" s="39">
        <v>1327918.2639782042</v>
      </c>
      <c r="S27" s="39">
        <v>2759635</v>
      </c>
      <c r="T27" s="41">
        <v>1.3183381969272283</v>
      </c>
      <c r="U27" s="39">
        <v>1263160.7640845918</v>
      </c>
      <c r="V27" s="39">
        <v>2469311</v>
      </c>
      <c r="W27" s="41">
        <v>1.4014898982548438</v>
      </c>
      <c r="X27" s="42"/>
      <c r="Y27" s="42"/>
      <c r="Z27" s="42"/>
      <c r="AA27" s="42"/>
      <c r="AB27" s="42"/>
      <c r="AC27" s="42"/>
      <c r="AD27" s="42"/>
      <c r="AE27" s="42"/>
      <c r="AF27" s="42"/>
      <c r="AG27" s="42"/>
      <c r="AH27" s="42"/>
      <c r="AI27" s="42"/>
      <c r="AJ27" s="42"/>
      <c r="AK27" s="39"/>
      <c r="AL27" s="39">
        <v>49511.67</v>
      </c>
      <c r="AM27" s="39">
        <v>85767.05</v>
      </c>
      <c r="AN27" s="39">
        <v>33000</v>
      </c>
      <c r="AO27" s="39">
        <v>9943</v>
      </c>
      <c r="AP27" s="39">
        <v>1834898.06</v>
      </c>
      <c r="AQ27" s="39">
        <v>764922.56</v>
      </c>
      <c r="AR27" s="39">
        <v>32</v>
      </c>
      <c r="AS27" s="42"/>
      <c r="AT27" s="42"/>
      <c r="AU27" s="42"/>
      <c r="AV27" s="42">
        <v>0.42499999999999999</v>
      </c>
      <c r="AW27" s="42"/>
      <c r="AX27" s="42"/>
      <c r="AY27" s="42">
        <v>0.76</v>
      </c>
      <c r="AZ27" s="42">
        <v>0.76523160000000001</v>
      </c>
      <c r="BA27" s="42"/>
      <c r="BB27" s="42">
        <v>0.85</v>
      </c>
      <c r="BC27" s="42"/>
      <c r="BD27" s="42"/>
      <c r="BE27" s="42">
        <v>0.78367109999999995</v>
      </c>
      <c r="BF27" s="42"/>
      <c r="BG27" s="42"/>
      <c r="BH27" s="42"/>
      <c r="BI27" s="42"/>
      <c r="BJ27" s="42"/>
      <c r="BK27" s="42"/>
      <c r="BL27" s="42"/>
      <c r="BM27" s="42"/>
      <c r="BN27" s="42"/>
      <c r="BO27" s="42">
        <v>0.21632889999999999</v>
      </c>
      <c r="BP27" s="42"/>
      <c r="BQ27" s="42">
        <v>1</v>
      </c>
      <c r="BR27" s="42"/>
      <c r="BS27" s="42"/>
      <c r="BT27" s="42"/>
      <c r="BU27" s="42"/>
      <c r="BV27" s="42"/>
      <c r="BW27" s="39">
        <v>5957</v>
      </c>
      <c r="BX27" s="39"/>
      <c r="BY27" s="39"/>
      <c r="BZ27" s="39"/>
      <c r="CA27" s="39"/>
      <c r="CB27" s="27" t="s">
        <v>96</v>
      </c>
      <c r="CC27" s="27" t="s">
        <v>96</v>
      </c>
      <c r="CD27" s="27" t="s">
        <v>96</v>
      </c>
      <c r="CE27" s="27" t="s">
        <v>232</v>
      </c>
      <c r="CF27" s="27" t="s">
        <v>96</v>
      </c>
      <c r="CG27" s="27" t="s">
        <v>96</v>
      </c>
      <c r="CH27" s="27" t="s">
        <v>95</v>
      </c>
      <c r="CI27" s="27" t="s">
        <v>233</v>
      </c>
      <c r="CJ27" s="27" t="s">
        <v>1567</v>
      </c>
      <c r="CK27" s="27" t="s">
        <v>234</v>
      </c>
      <c r="CL27" s="27" t="s">
        <v>96</v>
      </c>
      <c r="CM27" s="43" t="s">
        <v>235</v>
      </c>
      <c r="CN27" s="27" t="s">
        <v>96</v>
      </c>
      <c r="CO27" s="27"/>
      <c r="CP27" s="27"/>
      <c r="CQ27" s="27"/>
      <c r="CR27" s="43" t="s">
        <v>96</v>
      </c>
      <c r="CS27" s="43" t="s">
        <v>96</v>
      </c>
      <c r="CT27" s="43"/>
      <c r="CU27" s="43"/>
      <c r="CV27" s="43"/>
      <c r="CW27" s="43"/>
      <c r="CX27" s="43"/>
      <c r="CY27" s="43" t="s">
        <v>1723</v>
      </c>
      <c r="CZ27" s="43" t="s">
        <v>109</v>
      </c>
      <c r="DA27" s="43" t="s">
        <v>1470</v>
      </c>
      <c r="DB27" s="43"/>
      <c r="DC27" s="43"/>
      <c r="DD27" s="43"/>
      <c r="DE27" s="43"/>
      <c r="DF27" s="43"/>
    </row>
    <row r="28" spans="1:110" ht="14">
      <c r="A28" s="27" t="s">
        <v>236</v>
      </c>
      <c r="B28" s="33" t="s">
        <v>1693</v>
      </c>
      <c r="C28" s="27" t="s">
        <v>237</v>
      </c>
      <c r="D28" s="27" t="s">
        <v>1650</v>
      </c>
      <c r="E28" s="27" t="s">
        <v>1650</v>
      </c>
      <c r="F28" s="39">
        <v>16105155856.77</v>
      </c>
      <c r="G28" s="39">
        <v>2250626</v>
      </c>
      <c r="H28" s="40">
        <v>2017</v>
      </c>
      <c r="I28" s="39">
        <v>241000</v>
      </c>
      <c r="J28" s="27" t="s">
        <v>194</v>
      </c>
      <c r="K28" s="41">
        <v>0.29337347591414109</v>
      </c>
      <c r="L28" s="39">
        <v>267424.84243206348</v>
      </c>
      <c r="M28" s="39">
        <v>2419846</v>
      </c>
      <c r="N28" s="41">
        <v>0.30277579696548274</v>
      </c>
      <c r="O28" s="39">
        <v>341266.28047325683</v>
      </c>
      <c r="P28" s="39">
        <v>2745899</v>
      </c>
      <c r="Q28" s="41">
        <v>0.3404990900559835</v>
      </c>
      <c r="R28" s="39">
        <v>430644.93082304631</v>
      </c>
      <c r="S28" s="39">
        <v>3110283</v>
      </c>
      <c r="T28" s="41">
        <v>0.3793381906220728</v>
      </c>
      <c r="U28" s="39">
        <v>514119.95009203313</v>
      </c>
      <c r="V28" s="39">
        <v>3423337</v>
      </c>
      <c r="W28" s="41">
        <v>0.41145461532747829</v>
      </c>
      <c r="X28" s="42">
        <v>0.1283</v>
      </c>
      <c r="Y28" s="42"/>
      <c r="Z28" s="42">
        <v>1.5E-3</v>
      </c>
      <c r="AA28" s="42">
        <v>2.9999999999999997E-4</v>
      </c>
      <c r="AB28" s="42"/>
      <c r="AC28" s="42"/>
      <c r="AD28" s="42"/>
      <c r="AE28" s="42"/>
      <c r="AF28" s="42"/>
      <c r="AG28" s="42"/>
      <c r="AH28" s="42"/>
      <c r="AI28" s="42"/>
      <c r="AJ28" s="42">
        <v>0.86990000000000001</v>
      </c>
      <c r="AK28" s="39">
        <v>1516.04</v>
      </c>
      <c r="AL28" s="39"/>
      <c r="AM28" s="39"/>
      <c r="AN28" s="39">
        <v>23000</v>
      </c>
      <c r="AO28" s="39">
        <v>4060</v>
      </c>
      <c r="AP28" s="39"/>
      <c r="AQ28" s="39"/>
      <c r="AR28" s="39">
        <v>2500</v>
      </c>
      <c r="AS28" s="42"/>
      <c r="AT28" s="42"/>
      <c r="AU28" s="42"/>
      <c r="AV28" s="42"/>
      <c r="AW28" s="42"/>
      <c r="AX28" s="42">
        <v>0.50849999999999995</v>
      </c>
      <c r="AY28" s="42">
        <v>0.49</v>
      </c>
      <c r="AZ28" s="42">
        <v>0.76314896265560195</v>
      </c>
      <c r="BA28" s="42"/>
      <c r="BB28" s="42"/>
      <c r="BC28" s="42"/>
      <c r="BD28" s="42"/>
      <c r="BE28" s="42"/>
      <c r="BF28" s="42"/>
      <c r="BG28" s="42">
        <v>0.75694174273858905</v>
      </c>
      <c r="BH28" s="42"/>
      <c r="BI28" s="42"/>
      <c r="BJ28" s="42">
        <v>6.2906224066390003E-3</v>
      </c>
      <c r="BK28" s="42"/>
      <c r="BL28" s="42"/>
      <c r="BM28" s="42"/>
      <c r="BN28" s="42"/>
      <c r="BO28" s="42">
        <v>0.23685062240663901</v>
      </c>
      <c r="BP28" s="42"/>
      <c r="BQ28" s="42">
        <v>0.161106590724166</v>
      </c>
      <c r="BR28" s="42">
        <v>0.41700569568755103</v>
      </c>
      <c r="BS28" s="42">
        <v>0.379170056956876</v>
      </c>
      <c r="BT28" s="42"/>
      <c r="BU28" s="42"/>
      <c r="BV28" s="42">
        <v>4.2717656631407697E-2</v>
      </c>
      <c r="BW28" s="39"/>
      <c r="BX28" s="39"/>
      <c r="BY28" s="39"/>
      <c r="BZ28" s="39"/>
      <c r="CA28" s="39"/>
      <c r="CB28" s="27" t="s">
        <v>96</v>
      </c>
      <c r="CC28" s="27" t="s">
        <v>95</v>
      </c>
      <c r="CD28" s="27" t="s">
        <v>96</v>
      </c>
      <c r="CE28" s="27" t="s">
        <v>238</v>
      </c>
      <c r="CF28" s="27" t="s">
        <v>96</v>
      </c>
      <c r="CG28" s="27" t="s">
        <v>96</v>
      </c>
      <c r="CH28" s="27" t="s">
        <v>95</v>
      </c>
      <c r="CI28" s="27" t="s">
        <v>95</v>
      </c>
      <c r="CJ28" s="27" t="s">
        <v>1629</v>
      </c>
      <c r="CK28" s="27"/>
      <c r="CL28" s="27" t="s">
        <v>96</v>
      </c>
      <c r="CM28" s="27" t="s">
        <v>239</v>
      </c>
      <c r="CN28" s="27"/>
      <c r="CO28" s="27"/>
      <c r="CP28" s="27"/>
      <c r="CQ28" s="27"/>
      <c r="CR28" s="43" t="s">
        <v>96</v>
      </c>
      <c r="CS28" s="43"/>
      <c r="CT28" s="43"/>
      <c r="CU28" s="43"/>
      <c r="CV28" s="43" t="s">
        <v>96</v>
      </c>
      <c r="CW28" s="43"/>
      <c r="CX28" s="43"/>
      <c r="CY28" s="43" t="s">
        <v>106</v>
      </c>
      <c r="CZ28" s="43" t="s">
        <v>148</v>
      </c>
      <c r="DA28" s="43" t="s">
        <v>1471</v>
      </c>
      <c r="DB28" s="43"/>
      <c r="DC28" s="43"/>
      <c r="DD28" s="43"/>
      <c r="DE28" s="43"/>
      <c r="DF28" s="43"/>
    </row>
    <row r="29" spans="1:110" ht="14">
      <c r="A29" s="27" t="s">
        <v>240</v>
      </c>
      <c r="B29" s="27" t="s">
        <v>1714</v>
      </c>
      <c r="C29" s="27" t="s">
        <v>241</v>
      </c>
      <c r="D29" s="27" t="s">
        <v>1650</v>
      </c>
      <c r="E29" s="27" t="s">
        <v>1650</v>
      </c>
      <c r="F29" s="39">
        <v>1951923942083.3201</v>
      </c>
      <c r="G29" s="39">
        <v>209905829</v>
      </c>
      <c r="H29" s="40">
        <v>2022</v>
      </c>
      <c r="I29" s="39">
        <v>81811506</v>
      </c>
      <c r="J29" s="27" t="s">
        <v>102</v>
      </c>
      <c r="K29" s="41">
        <v>1.0678174750867309</v>
      </c>
      <c r="L29" s="39">
        <v>81811505.999999985</v>
      </c>
      <c r="M29" s="39">
        <v>209905829</v>
      </c>
      <c r="N29" s="41">
        <v>1.0678174750867309</v>
      </c>
      <c r="O29" s="39">
        <v>90464115.7161953</v>
      </c>
      <c r="P29" s="39">
        <v>215806434</v>
      </c>
      <c r="Q29" s="41">
        <v>1.1484685038312519</v>
      </c>
      <c r="R29" s="39">
        <v>104004515.64944401</v>
      </c>
      <c r="S29" s="39">
        <v>219187659</v>
      </c>
      <c r="T29" s="41">
        <v>1.2999996431898908</v>
      </c>
      <c r="U29" s="39">
        <v>117564892.89084607</v>
      </c>
      <c r="V29" s="39">
        <v>217703593</v>
      </c>
      <c r="W29" s="41">
        <v>1.4795143824806885</v>
      </c>
      <c r="X29" s="42">
        <v>0.45300000000000001</v>
      </c>
      <c r="Y29" s="42">
        <v>2.7E-2</v>
      </c>
      <c r="Z29" s="42">
        <v>2.3E-2</v>
      </c>
      <c r="AA29" s="42">
        <v>0.104</v>
      </c>
      <c r="AB29" s="42">
        <v>0.16800000000000001</v>
      </c>
      <c r="AC29" s="42"/>
      <c r="AD29" s="42"/>
      <c r="AE29" s="42"/>
      <c r="AF29" s="42">
        <v>5.6000000000000001E-2</v>
      </c>
      <c r="AG29" s="42"/>
      <c r="AH29" s="42"/>
      <c r="AI29" s="42"/>
      <c r="AJ29" s="42">
        <v>0.16900000000000001</v>
      </c>
      <c r="AK29" s="39">
        <v>1117341</v>
      </c>
      <c r="AL29" s="39">
        <v>632106</v>
      </c>
      <c r="AM29" s="39">
        <v>58069035.859999999</v>
      </c>
      <c r="AN29" s="39">
        <v>2443000</v>
      </c>
      <c r="AO29" s="39">
        <v>132320.62400000001</v>
      </c>
      <c r="AP29" s="39">
        <v>2166296.0019999999</v>
      </c>
      <c r="AQ29" s="39">
        <v>897979.76300000004</v>
      </c>
      <c r="AR29" s="39">
        <v>10285292.140000001</v>
      </c>
      <c r="AS29" s="42"/>
      <c r="AT29" s="42"/>
      <c r="AU29" s="42"/>
      <c r="AV29" s="42"/>
      <c r="AW29" s="42"/>
      <c r="AX29" s="42">
        <v>0.91710000000000003</v>
      </c>
      <c r="AY29" s="42">
        <v>0.90900000000000003</v>
      </c>
      <c r="AZ29" s="42">
        <v>0.93</v>
      </c>
      <c r="BA29" s="42"/>
      <c r="BB29" s="42"/>
      <c r="BC29" s="42"/>
      <c r="BD29" s="42">
        <v>0.13100374790862401</v>
      </c>
      <c r="BE29" s="42">
        <v>0.108926107357059</v>
      </c>
      <c r="BF29" s="42">
        <v>0.673733560672923</v>
      </c>
      <c r="BG29" s="42"/>
      <c r="BH29" s="42"/>
      <c r="BI29" s="42"/>
      <c r="BJ29" s="42">
        <v>1.6336584061394599E-2</v>
      </c>
      <c r="BK29" s="42"/>
      <c r="BL29" s="42"/>
      <c r="BM29" s="42"/>
      <c r="BN29" s="42"/>
      <c r="BO29" s="42">
        <v>7.0000000000000007E-2</v>
      </c>
      <c r="BP29" s="42"/>
      <c r="BQ29" s="42"/>
      <c r="BR29" s="42"/>
      <c r="BS29" s="42"/>
      <c r="BT29" s="42"/>
      <c r="BU29" s="42"/>
      <c r="BV29" s="42"/>
      <c r="BW29" s="39">
        <v>336313</v>
      </c>
      <c r="BX29" s="39"/>
      <c r="BY29" s="39">
        <v>243745</v>
      </c>
      <c r="BZ29" s="39">
        <v>70622</v>
      </c>
      <c r="CA29" s="39"/>
      <c r="CB29" s="27" t="s">
        <v>96</v>
      </c>
      <c r="CC29" s="27" t="s">
        <v>96</v>
      </c>
      <c r="CD29" s="27" t="s">
        <v>96</v>
      </c>
      <c r="CE29" s="27" t="s">
        <v>242</v>
      </c>
      <c r="CF29" s="27" t="s">
        <v>96</v>
      </c>
      <c r="CG29" s="27" t="s">
        <v>96</v>
      </c>
      <c r="CH29" s="27" t="s">
        <v>96</v>
      </c>
      <c r="CI29" s="27"/>
      <c r="CJ29" s="27" t="s">
        <v>243</v>
      </c>
      <c r="CK29" s="27"/>
      <c r="CL29" s="27" t="s">
        <v>96</v>
      </c>
      <c r="CM29" s="27" t="s">
        <v>244</v>
      </c>
      <c r="CN29" s="27" t="s">
        <v>96</v>
      </c>
      <c r="CO29" s="27"/>
      <c r="CP29" s="27" t="s">
        <v>96</v>
      </c>
      <c r="CQ29" s="27" t="s">
        <v>245</v>
      </c>
      <c r="CR29" s="43" t="s">
        <v>96</v>
      </c>
      <c r="CS29" s="43" t="s">
        <v>96</v>
      </c>
      <c r="CT29" s="43"/>
      <c r="CU29" s="43"/>
      <c r="CV29" s="43" t="s">
        <v>96</v>
      </c>
      <c r="CW29" s="43" t="s">
        <v>96</v>
      </c>
      <c r="CX29" s="43" t="s">
        <v>96</v>
      </c>
      <c r="CY29" s="43" t="s">
        <v>1723</v>
      </c>
      <c r="CZ29" s="43" t="s">
        <v>109</v>
      </c>
      <c r="DA29" s="43" t="s">
        <v>1470</v>
      </c>
      <c r="DB29" s="43"/>
      <c r="DC29" s="43"/>
      <c r="DD29" s="43"/>
      <c r="DE29" s="43"/>
      <c r="DF29" s="43"/>
    </row>
    <row r="30" spans="1:110" ht="14">
      <c r="A30" s="27" t="s">
        <v>246</v>
      </c>
      <c r="B30" s="27" t="s">
        <v>1714</v>
      </c>
      <c r="C30" s="27" t="s">
        <v>247</v>
      </c>
      <c r="D30" s="27" t="s">
        <v>122</v>
      </c>
      <c r="E30" s="27" t="s">
        <v>122</v>
      </c>
      <c r="F30" s="39" t="s">
        <v>1620</v>
      </c>
      <c r="G30" s="39">
        <v>36144</v>
      </c>
      <c r="H30" s="40">
        <v>2019</v>
      </c>
      <c r="I30" s="39">
        <v>55093.1</v>
      </c>
      <c r="J30" s="27" t="s">
        <v>152</v>
      </c>
      <c r="K30" s="41">
        <v>4.1760734838424076</v>
      </c>
      <c r="L30" s="39">
        <v>57951.825808049049</v>
      </c>
      <c r="M30" s="39">
        <v>37995</v>
      </c>
      <c r="N30" s="41">
        <v>4.1787636663114682</v>
      </c>
      <c r="O30" s="39">
        <v>63906.316849489129</v>
      </c>
      <c r="P30" s="39">
        <v>40521</v>
      </c>
      <c r="Q30" s="41">
        <v>4.3208657137691926</v>
      </c>
      <c r="R30" s="39">
        <v>67700.826333151228</v>
      </c>
      <c r="S30" s="39">
        <v>41208</v>
      </c>
      <c r="T30" s="41">
        <v>4.5011093957783981</v>
      </c>
      <c r="U30" s="39">
        <v>68938.200817971505</v>
      </c>
      <c r="V30" s="39">
        <v>40433</v>
      </c>
      <c r="W30" s="41">
        <v>4.671228527760384</v>
      </c>
      <c r="X30" s="42">
        <v>0.31568835298794201</v>
      </c>
      <c r="Y30" s="42">
        <v>0.16788127732874</v>
      </c>
      <c r="Z30" s="42">
        <v>5.2404929110905003E-2</v>
      </c>
      <c r="AA30" s="42">
        <v>0.12534782032595701</v>
      </c>
      <c r="AB30" s="42">
        <v>0.201338280111303</v>
      </c>
      <c r="AC30" s="42"/>
      <c r="AD30" s="42"/>
      <c r="AE30" s="42"/>
      <c r="AF30" s="42">
        <v>6.2408904200344499E-2</v>
      </c>
      <c r="AG30" s="42"/>
      <c r="AH30" s="42"/>
      <c r="AI30" s="42">
        <v>3.1270703590830798E-2</v>
      </c>
      <c r="AJ30" s="42">
        <v>4.36597323439777E-2</v>
      </c>
      <c r="AK30" s="39"/>
      <c r="AL30" s="39"/>
      <c r="AM30" s="39">
        <v>6256.1</v>
      </c>
      <c r="AN30" s="39">
        <v>186.15</v>
      </c>
      <c r="AO30" s="39"/>
      <c r="AP30" s="39"/>
      <c r="AQ30" s="39"/>
      <c r="AR30" s="39">
        <v>18.25</v>
      </c>
      <c r="AS30" s="42">
        <v>0.705495228693649</v>
      </c>
      <c r="AT30" s="42">
        <v>0.294504771306351</v>
      </c>
      <c r="AU30" s="42"/>
      <c r="AV30" s="42"/>
      <c r="AW30" s="42"/>
      <c r="AX30" s="42"/>
      <c r="AY30" s="42">
        <v>0.97199999999999998</v>
      </c>
      <c r="AZ30" s="42"/>
      <c r="BA30" s="42"/>
      <c r="BB30" s="42"/>
      <c r="BC30" s="42"/>
      <c r="BD30" s="42">
        <v>0.19739999999999999</v>
      </c>
      <c r="BE30" s="42"/>
      <c r="BF30" s="42"/>
      <c r="BG30" s="42"/>
      <c r="BH30" s="42"/>
      <c r="BI30" s="42"/>
      <c r="BJ30" s="42"/>
      <c r="BK30" s="42">
        <v>0.80249999999999999</v>
      </c>
      <c r="BL30" s="42"/>
      <c r="BM30" s="42"/>
      <c r="BN30" s="42"/>
      <c r="BO30" s="42"/>
      <c r="BP30" s="42"/>
      <c r="BQ30" s="42"/>
      <c r="BR30" s="42"/>
      <c r="BS30" s="42"/>
      <c r="BT30" s="42"/>
      <c r="BU30" s="42"/>
      <c r="BV30" s="42"/>
      <c r="BW30" s="39">
        <v>74</v>
      </c>
      <c r="BX30" s="39"/>
      <c r="BY30" s="39"/>
      <c r="BZ30" s="39"/>
      <c r="CA30" s="39"/>
      <c r="CB30" s="27" t="s">
        <v>96</v>
      </c>
      <c r="CC30" s="27" t="s">
        <v>95</v>
      </c>
      <c r="CD30" s="27" t="s">
        <v>96</v>
      </c>
      <c r="CE30" s="27" t="s">
        <v>248</v>
      </c>
      <c r="CF30" s="27" t="s">
        <v>96</v>
      </c>
      <c r="CG30" s="27"/>
      <c r="CH30" s="27" t="s">
        <v>96</v>
      </c>
      <c r="CI30" s="27"/>
      <c r="CJ30" s="27" t="s">
        <v>1719</v>
      </c>
      <c r="CK30" s="27"/>
      <c r="CL30" s="27" t="s">
        <v>96</v>
      </c>
      <c r="CM30" s="43" t="s">
        <v>249</v>
      </c>
      <c r="CN30" s="27" t="s">
        <v>95</v>
      </c>
      <c r="CO30" s="27"/>
      <c r="CP30" s="27" t="s">
        <v>96</v>
      </c>
      <c r="CQ30" s="43" t="s">
        <v>249</v>
      </c>
      <c r="CR30" s="43" t="s">
        <v>96</v>
      </c>
      <c r="CS30" s="43" t="s">
        <v>96</v>
      </c>
      <c r="CT30" s="43"/>
      <c r="CU30" s="43"/>
      <c r="CV30" s="43"/>
      <c r="CW30" s="43"/>
      <c r="CX30" s="43"/>
      <c r="CY30" s="43" t="s">
        <v>106</v>
      </c>
      <c r="CZ30" s="43" t="s">
        <v>148</v>
      </c>
      <c r="DA30" s="43" t="s">
        <v>107</v>
      </c>
      <c r="DB30" s="43" t="s">
        <v>96</v>
      </c>
      <c r="DC30" s="43" t="s">
        <v>106</v>
      </c>
      <c r="DD30" s="43" t="s">
        <v>106</v>
      </c>
      <c r="DE30" s="43" t="s">
        <v>106</v>
      </c>
      <c r="DF30" t="s">
        <v>107</v>
      </c>
    </row>
    <row r="31" spans="1:110" ht="14">
      <c r="A31" s="27" t="s">
        <v>250</v>
      </c>
      <c r="B31" s="47" t="s">
        <v>1712</v>
      </c>
      <c r="C31" s="27" t="s">
        <v>251</v>
      </c>
      <c r="D31" s="27" t="s">
        <v>122</v>
      </c>
      <c r="E31" s="27" t="s">
        <v>122</v>
      </c>
      <c r="F31" s="39">
        <v>13469235348</v>
      </c>
      <c r="G31" s="39">
        <v>440283</v>
      </c>
      <c r="H31" s="40">
        <v>2019</v>
      </c>
      <c r="I31" s="39">
        <v>297218</v>
      </c>
      <c r="J31" s="27" t="s">
        <v>94</v>
      </c>
      <c r="K31" s="41">
        <v>1.8494829244167021</v>
      </c>
      <c r="L31" s="39">
        <v>303148.04952575336</v>
      </c>
      <c r="M31" s="39">
        <v>453711</v>
      </c>
      <c r="N31" s="41">
        <v>1.8305542546696472</v>
      </c>
      <c r="O31" s="39">
        <v>329097.47300770803</v>
      </c>
      <c r="P31" s="39">
        <v>480972</v>
      </c>
      <c r="Q31" s="41">
        <v>1.8746141404278938</v>
      </c>
      <c r="R31" s="39">
        <v>354665.12932813528</v>
      </c>
      <c r="S31" s="39">
        <v>505064</v>
      </c>
      <c r="T31" s="41">
        <v>1.9238854597249213</v>
      </c>
      <c r="U31" s="39">
        <v>367509.20936941798</v>
      </c>
      <c r="V31" s="39">
        <v>519157.00000000006</v>
      </c>
      <c r="W31" s="41">
        <v>1.9394413370475279</v>
      </c>
      <c r="X31" s="42">
        <v>0.32</v>
      </c>
      <c r="Y31" s="42"/>
      <c r="Z31" s="42"/>
      <c r="AA31" s="42">
        <v>0.1</v>
      </c>
      <c r="AB31" s="42">
        <v>0.28999999999999998</v>
      </c>
      <c r="AC31" s="42"/>
      <c r="AD31" s="42"/>
      <c r="AE31" s="42">
        <v>0.11</v>
      </c>
      <c r="AF31" s="42"/>
      <c r="AG31" s="42"/>
      <c r="AH31" s="42"/>
      <c r="AI31" s="42"/>
      <c r="AJ31" s="42">
        <v>0.18</v>
      </c>
      <c r="AK31" s="39"/>
      <c r="AL31" s="39"/>
      <c r="AM31" s="39"/>
      <c r="AN31" s="39">
        <v>9000</v>
      </c>
      <c r="AO31" s="39"/>
      <c r="AP31" s="39"/>
      <c r="AQ31" s="39"/>
      <c r="AR31" s="39"/>
      <c r="AS31" s="42"/>
      <c r="AT31" s="42"/>
      <c r="AU31" s="42"/>
      <c r="AV31" s="42"/>
      <c r="AW31" s="42"/>
      <c r="AX31" s="42"/>
      <c r="AY31" s="42"/>
      <c r="AZ31" s="42"/>
      <c r="BA31" s="42"/>
      <c r="BB31" s="42"/>
      <c r="BC31" s="42"/>
      <c r="BD31" s="42"/>
      <c r="BE31" s="42"/>
      <c r="BF31" s="42"/>
      <c r="BG31" s="42">
        <v>0.88700000000000001</v>
      </c>
      <c r="BH31" s="42"/>
      <c r="BI31" s="42"/>
      <c r="BJ31" s="42">
        <v>0.113</v>
      </c>
      <c r="BK31" s="42"/>
      <c r="BL31" s="42"/>
      <c r="BM31" s="42"/>
      <c r="BN31" s="42"/>
      <c r="BO31" s="42"/>
      <c r="BP31" s="42"/>
      <c r="BQ31" s="42"/>
      <c r="BR31" s="42"/>
      <c r="BS31" s="42"/>
      <c r="BT31" s="42"/>
      <c r="BU31" s="42"/>
      <c r="BV31" s="42"/>
      <c r="BW31" s="39"/>
      <c r="BX31" s="39"/>
      <c r="BY31" s="39"/>
      <c r="BZ31" s="39"/>
      <c r="CA31" s="39"/>
      <c r="CB31" s="27" t="s">
        <v>96</v>
      </c>
      <c r="CC31" s="27" t="s">
        <v>96</v>
      </c>
      <c r="CD31" s="27" t="s">
        <v>96</v>
      </c>
      <c r="CE31" s="27" t="s">
        <v>252</v>
      </c>
      <c r="CF31" s="27" t="s">
        <v>96</v>
      </c>
      <c r="CG31" s="27" t="s">
        <v>95</v>
      </c>
      <c r="CH31" s="27"/>
      <c r="CI31" s="27"/>
      <c r="CJ31" s="27" t="s">
        <v>1544</v>
      </c>
      <c r="CK31" s="27"/>
      <c r="CL31" s="27" t="s">
        <v>95</v>
      </c>
      <c r="CM31" s="27" t="s">
        <v>253</v>
      </c>
      <c r="CN31" s="27"/>
      <c r="CO31" s="27"/>
      <c r="CP31" s="27"/>
      <c r="CQ31" s="27"/>
      <c r="CR31" s="43"/>
      <c r="CS31" s="43"/>
      <c r="CT31" s="43"/>
      <c r="CU31" s="43"/>
      <c r="CV31" s="43"/>
      <c r="CW31" s="43"/>
      <c r="CX31" s="43"/>
      <c r="CY31" s="43"/>
      <c r="CZ31" s="43"/>
      <c r="DA31" s="43"/>
      <c r="DB31" s="43"/>
      <c r="DC31" s="43"/>
      <c r="DD31" s="43"/>
      <c r="DE31" s="43"/>
      <c r="DF31" s="43"/>
    </row>
    <row r="32" spans="1:110" ht="14">
      <c r="A32" s="27" t="s">
        <v>254</v>
      </c>
      <c r="B32" s="27" t="s">
        <v>1713</v>
      </c>
      <c r="C32" s="27" t="s">
        <v>255</v>
      </c>
      <c r="D32" s="27" t="s">
        <v>1650</v>
      </c>
      <c r="E32" s="27" t="s">
        <v>1650</v>
      </c>
      <c r="F32" s="39">
        <v>66251582036</v>
      </c>
      <c r="G32" s="39">
        <v>7049750</v>
      </c>
      <c r="H32" s="40">
        <v>2018</v>
      </c>
      <c r="I32" s="39">
        <v>3180000</v>
      </c>
      <c r="J32" s="27" t="s">
        <v>94</v>
      </c>
      <c r="K32" s="41">
        <v>1.2358351384266515</v>
      </c>
      <c r="L32" s="39">
        <v>3358339.5363606904</v>
      </c>
      <c r="M32" s="39">
        <v>6838344</v>
      </c>
      <c r="N32" s="41">
        <v>1.3454909897198255</v>
      </c>
      <c r="O32" s="39">
        <v>3550657.5516987192</v>
      </c>
      <c r="P32" s="39">
        <v>6485837</v>
      </c>
      <c r="Q32" s="41">
        <v>1.4998571362128919</v>
      </c>
      <c r="R32" s="39">
        <v>3530483.6888323338</v>
      </c>
      <c r="S32" s="39">
        <v>5934740</v>
      </c>
      <c r="T32" s="41">
        <v>1.6298200176579658</v>
      </c>
      <c r="U32" s="39">
        <v>3398912.6417979691</v>
      </c>
      <c r="V32" s="39">
        <v>5426371</v>
      </c>
      <c r="W32" s="41">
        <v>1.7160804946037558</v>
      </c>
      <c r="X32" s="42">
        <v>9.8794834053537894E-2</v>
      </c>
      <c r="Y32" s="42">
        <v>4.45749480179801E-2</v>
      </c>
      <c r="Z32" s="42">
        <v>3.0583741283122402E-2</v>
      </c>
      <c r="AA32" s="42">
        <v>8.5211090011295801E-2</v>
      </c>
      <c r="AB32" s="42">
        <v>0.114614594111752</v>
      </c>
      <c r="AC32" s="42">
        <v>2.8818782584993201E-2</v>
      </c>
      <c r="AD32" s="42">
        <v>2.13860075283113E-2</v>
      </c>
      <c r="AE32" s="42">
        <v>0.131181338452355</v>
      </c>
      <c r="AF32" s="42">
        <v>5.4185770949113303E-2</v>
      </c>
      <c r="AG32" s="42"/>
      <c r="AH32" s="42">
        <v>1.61635942800929E-2</v>
      </c>
      <c r="AI32" s="42"/>
      <c r="AJ32" s="42">
        <v>0.37448529872744601</v>
      </c>
      <c r="AK32" s="39">
        <v>375000</v>
      </c>
      <c r="AL32" s="39">
        <v>718907</v>
      </c>
      <c r="AM32" s="39">
        <v>749324</v>
      </c>
      <c r="AN32" s="39"/>
      <c r="AO32" s="39"/>
      <c r="AP32" s="39">
        <v>14374345</v>
      </c>
      <c r="AQ32" s="39">
        <v>54216985</v>
      </c>
      <c r="AR32" s="39"/>
      <c r="AS32" s="42"/>
      <c r="AT32" s="42"/>
      <c r="AU32" s="42"/>
      <c r="AV32" s="42"/>
      <c r="AW32" s="42"/>
      <c r="AX32" s="42"/>
      <c r="AY32" s="42">
        <v>0.998</v>
      </c>
      <c r="AZ32" s="42"/>
      <c r="BA32" s="42"/>
      <c r="BB32" s="42"/>
      <c r="BC32" s="42"/>
      <c r="BD32" s="42"/>
      <c r="BE32" s="42"/>
      <c r="BF32" s="42"/>
      <c r="BG32" s="42">
        <v>0.59081030735796303</v>
      </c>
      <c r="BH32" s="42"/>
      <c r="BI32" s="42">
        <v>2.76311704439615E-2</v>
      </c>
      <c r="BJ32" s="42">
        <v>0.28190003104625899</v>
      </c>
      <c r="BK32" s="42">
        <v>4.0049674014281299E-2</v>
      </c>
      <c r="BL32" s="42"/>
      <c r="BM32" s="42"/>
      <c r="BN32" s="42"/>
      <c r="BO32" s="42"/>
      <c r="BP32" s="42">
        <v>5.9608817137534902E-2</v>
      </c>
      <c r="BQ32" s="42"/>
      <c r="BR32" s="42"/>
      <c r="BS32" s="42"/>
      <c r="BT32" s="42"/>
      <c r="BU32" s="42"/>
      <c r="BV32" s="42"/>
      <c r="BW32" s="39">
        <v>14279</v>
      </c>
      <c r="BX32" s="39"/>
      <c r="BY32" s="39"/>
      <c r="BZ32" s="39"/>
      <c r="CA32" s="39"/>
      <c r="CB32" s="27" t="s">
        <v>96</v>
      </c>
      <c r="CC32" s="27" t="s">
        <v>96</v>
      </c>
      <c r="CD32" s="27" t="s">
        <v>96</v>
      </c>
      <c r="CE32" s="27" t="s">
        <v>256</v>
      </c>
      <c r="CF32" s="27" t="s">
        <v>96</v>
      </c>
      <c r="CG32" s="27" t="s">
        <v>96</v>
      </c>
      <c r="CH32" s="27" t="s">
        <v>95</v>
      </c>
      <c r="CI32" s="27" t="s">
        <v>257</v>
      </c>
      <c r="CJ32" s="27" t="s">
        <v>1568</v>
      </c>
      <c r="CK32" s="48"/>
      <c r="CL32" s="27" t="s">
        <v>96</v>
      </c>
      <c r="CM32" s="27" t="s">
        <v>258</v>
      </c>
      <c r="CN32" s="27" t="s">
        <v>96</v>
      </c>
      <c r="CO32" s="27"/>
      <c r="CP32" s="27" t="s">
        <v>96</v>
      </c>
      <c r="CQ32" s="27" t="s">
        <v>259</v>
      </c>
      <c r="CR32" s="43" t="s">
        <v>96</v>
      </c>
      <c r="CS32" s="43" t="s">
        <v>96</v>
      </c>
      <c r="CT32" s="43"/>
      <c r="CU32" s="43" t="s">
        <v>96</v>
      </c>
      <c r="CV32" s="43" t="s">
        <v>96</v>
      </c>
      <c r="CW32" s="43" t="s">
        <v>96</v>
      </c>
      <c r="CX32" s="43" t="s">
        <v>96</v>
      </c>
      <c r="CY32" s="43" t="s">
        <v>1723</v>
      </c>
      <c r="CZ32" s="43" t="s">
        <v>109</v>
      </c>
      <c r="DA32" s="43" t="s">
        <v>1470</v>
      </c>
      <c r="DB32" s="43"/>
      <c r="DC32" s="43"/>
      <c r="DD32" s="43"/>
      <c r="DE32" s="43"/>
      <c r="DF32" s="43"/>
    </row>
    <row r="33" spans="1:110" ht="14">
      <c r="A33" s="27" t="s">
        <v>260</v>
      </c>
      <c r="B33" s="33" t="s">
        <v>1693</v>
      </c>
      <c r="C33" s="27" t="s">
        <v>261</v>
      </c>
      <c r="D33" s="27" t="s">
        <v>93</v>
      </c>
      <c r="E33" s="27" t="s">
        <v>93</v>
      </c>
      <c r="F33" s="39">
        <v>19697516284</v>
      </c>
      <c r="G33" s="39">
        <v>21738045</v>
      </c>
      <c r="H33" s="40">
        <v>2021</v>
      </c>
      <c r="I33" s="39">
        <v>457771</v>
      </c>
      <c r="J33" s="27" t="s">
        <v>94</v>
      </c>
      <c r="K33" s="41">
        <v>5.7694568361031144E-2</v>
      </c>
      <c r="L33" s="39">
        <v>465239.83815752179</v>
      </c>
      <c r="M33" s="39">
        <v>22252441</v>
      </c>
      <c r="N33" s="41">
        <v>5.7280443686256781E-2</v>
      </c>
      <c r="O33" s="39">
        <v>669173.99343039421</v>
      </c>
      <c r="P33" s="39">
        <v>26461268</v>
      </c>
      <c r="Q33" s="41">
        <v>6.9284412472547199E-2</v>
      </c>
      <c r="R33" s="39">
        <v>831575.06438045541</v>
      </c>
      <c r="S33" s="39">
        <v>31925362</v>
      </c>
      <c r="T33" s="41">
        <v>7.1362944846723619E-2</v>
      </c>
      <c r="U33" s="39">
        <v>994433.53566546342</v>
      </c>
      <c r="V33" s="39">
        <v>37065760</v>
      </c>
      <c r="W33" s="41">
        <v>7.3503833192125334E-2</v>
      </c>
      <c r="X33" s="42">
        <v>0.28420000000000001</v>
      </c>
      <c r="Y33" s="42">
        <v>5.28E-2</v>
      </c>
      <c r="Z33" s="42">
        <v>8.3000000000000001E-3</v>
      </c>
      <c r="AA33" s="42">
        <v>7.8399999999999997E-2</v>
      </c>
      <c r="AB33" s="42">
        <v>0.1343</v>
      </c>
      <c r="AC33" s="42"/>
      <c r="AD33" s="42"/>
      <c r="AE33" s="42"/>
      <c r="AF33" s="42">
        <v>0.11940000000000001</v>
      </c>
      <c r="AG33" s="42"/>
      <c r="AH33" s="42"/>
      <c r="AI33" s="42"/>
      <c r="AJ33" s="42">
        <v>0.32269999999999999</v>
      </c>
      <c r="AK33" s="39"/>
      <c r="AL33" s="39"/>
      <c r="AM33" s="39"/>
      <c r="AN33" s="39">
        <v>17000</v>
      </c>
      <c r="AO33" s="39">
        <v>688.5</v>
      </c>
      <c r="AP33" s="39"/>
      <c r="AQ33" s="39"/>
      <c r="AR33" s="39"/>
      <c r="AS33" s="42"/>
      <c r="AT33" s="42"/>
      <c r="AU33" s="42"/>
      <c r="AV33" s="42"/>
      <c r="AW33" s="42"/>
      <c r="AX33" s="42">
        <v>0.18099999999999999</v>
      </c>
      <c r="AY33" s="42">
        <v>9.0999999999999998E-2</v>
      </c>
      <c r="AZ33" s="42"/>
      <c r="BA33" s="42"/>
      <c r="BB33" s="42"/>
      <c r="BC33" s="42"/>
      <c r="BD33" s="42">
        <v>0.09</v>
      </c>
      <c r="BE33" s="42"/>
      <c r="BF33" s="42"/>
      <c r="BG33" s="42">
        <v>0.17</v>
      </c>
      <c r="BH33" s="42"/>
      <c r="BI33" s="42"/>
      <c r="BJ33" s="42"/>
      <c r="BK33" s="42"/>
      <c r="BL33" s="42"/>
      <c r="BM33" s="42"/>
      <c r="BN33" s="42">
        <v>0.11</v>
      </c>
      <c r="BO33" s="42">
        <v>0.54</v>
      </c>
      <c r="BP33" s="42">
        <v>0.09</v>
      </c>
      <c r="BQ33" s="42">
        <v>0.81810000000000005</v>
      </c>
      <c r="BR33" s="42">
        <v>9.6500000000000002E-2</v>
      </c>
      <c r="BS33" s="42">
        <v>4.3959999999999999E-2</v>
      </c>
      <c r="BT33" s="42"/>
      <c r="BU33" s="42"/>
      <c r="BV33" s="42">
        <v>4.2700000000000002E-2</v>
      </c>
      <c r="BW33" s="39"/>
      <c r="BX33" s="39"/>
      <c r="BY33" s="39"/>
      <c r="BZ33" s="39"/>
      <c r="CA33" s="39"/>
      <c r="CB33" s="27" t="s">
        <v>95</v>
      </c>
      <c r="CC33" s="27" t="s">
        <v>96</v>
      </c>
      <c r="CD33" s="27" t="s">
        <v>96</v>
      </c>
      <c r="CE33" s="27" t="s">
        <v>262</v>
      </c>
      <c r="CF33" s="27" t="s">
        <v>96</v>
      </c>
      <c r="CG33" s="27" t="s">
        <v>96</v>
      </c>
      <c r="CH33" s="27" t="s">
        <v>95</v>
      </c>
      <c r="CI33" s="27" t="s">
        <v>95</v>
      </c>
      <c r="CJ33" s="27" t="s">
        <v>1630</v>
      </c>
      <c r="CK33" s="27" t="s">
        <v>95</v>
      </c>
      <c r="CL33" s="27" t="s">
        <v>96</v>
      </c>
      <c r="CM33" s="43" t="s">
        <v>215</v>
      </c>
      <c r="CN33" s="27"/>
      <c r="CO33" s="27"/>
      <c r="CP33" s="27"/>
      <c r="CQ33" s="27"/>
      <c r="CR33" s="43"/>
      <c r="CS33" s="43"/>
      <c r="CT33" s="43"/>
      <c r="CU33" s="43"/>
      <c r="CV33" s="43"/>
      <c r="CW33" s="43"/>
      <c r="CX33" s="43"/>
      <c r="CY33" s="43"/>
      <c r="CZ33" s="43"/>
      <c r="DA33" s="43"/>
      <c r="DB33" s="43"/>
      <c r="DC33" s="43"/>
      <c r="DD33" s="43"/>
      <c r="DE33" s="43"/>
      <c r="DF33" s="43"/>
    </row>
    <row r="34" spans="1:110" ht="14">
      <c r="A34" s="27" t="s">
        <v>263</v>
      </c>
      <c r="B34" s="33" t="s">
        <v>1693</v>
      </c>
      <c r="C34" s="27" t="s">
        <v>264</v>
      </c>
      <c r="D34" s="27"/>
      <c r="E34" s="27" t="s">
        <v>93</v>
      </c>
      <c r="F34" s="39"/>
      <c r="G34" s="39">
        <v>13138197</v>
      </c>
      <c r="H34" s="40" t="s">
        <v>123</v>
      </c>
      <c r="I34" s="39" t="s">
        <v>1620</v>
      </c>
      <c r="J34" s="27"/>
      <c r="K34" s="41">
        <v>0</v>
      </c>
      <c r="L34" s="39">
        <v>374734.87474990869</v>
      </c>
      <c r="M34" s="39">
        <v>13138197</v>
      </c>
      <c r="N34" s="41">
        <v>7.8143971332274687E-2</v>
      </c>
      <c r="O34" s="39">
        <v>548267.88635906496</v>
      </c>
      <c r="P34" s="39">
        <v>15998660</v>
      </c>
      <c r="Q34" s="41">
        <v>9.388935062336555E-2</v>
      </c>
      <c r="R34" s="39">
        <v>703339.49129914143</v>
      </c>
      <c r="S34" s="39">
        <v>19925929</v>
      </c>
      <c r="T34" s="41">
        <v>9.6706031142066523E-2</v>
      </c>
      <c r="U34" s="39">
        <v>870741.12802845042</v>
      </c>
      <c r="V34" s="39">
        <v>23949994</v>
      </c>
      <c r="W34" s="41">
        <v>9.9607212076328527E-2</v>
      </c>
      <c r="X34" s="42">
        <v>0.56999999999999995</v>
      </c>
      <c r="Y34" s="42">
        <v>0.15</v>
      </c>
      <c r="Z34" s="42">
        <v>0.05</v>
      </c>
      <c r="AA34" s="42">
        <v>0.06</v>
      </c>
      <c r="AB34" s="42">
        <v>0.08</v>
      </c>
      <c r="AC34" s="42"/>
      <c r="AD34" s="42">
        <v>0.03</v>
      </c>
      <c r="AE34" s="42"/>
      <c r="AF34" s="42">
        <v>0.04</v>
      </c>
      <c r="AG34" s="42"/>
      <c r="AH34" s="42">
        <v>0.02</v>
      </c>
      <c r="AI34" s="42"/>
      <c r="AJ34" s="42"/>
      <c r="AK34" s="39"/>
      <c r="AL34" s="39"/>
      <c r="AM34" s="39"/>
      <c r="AN34" s="39">
        <v>8000</v>
      </c>
      <c r="AO34" s="39"/>
      <c r="AP34" s="39"/>
      <c r="AQ34" s="39"/>
      <c r="AR34" s="39"/>
      <c r="AS34" s="42"/>
      <c r="AT34" s="42"/>
      <c r="AU34" s="42"/>
      <c r="AV34" s="42"/>
      <c r="AW34" s="42"/>
      <c r="AX34" s="42"/>
      <c r="AY34" s="42"/>
      <c r="AZ34" s="42"/>
      <c r="BA34" s="42"/>
      <c r="BB34" s="42"/>
      <c r="BC34" s="42"/>
      <c r="BD34" s="42"/>
      <c r="BE34" s="42"/>
      <c r="BF34" s="42"/>
      <c r="BG34" s="42"/>
      <c r="BH34" s="42"/>
      <c r="BI34" s="42"/>
      <c r="BJ34" s="42"/>
      <c r="BK34" s="42"/>
      <c r="BL34" s="42"/>
      <c r="BM34" s="42"/>
      <c r="BN34" s="42"/>
      <c r="BO34" s="42"/>
      <c r="BP34" s="42"/>
      <c r="BQ34" s="42"/>
      <c r="BR34" s="42"/>
      <c r="BS34" s="42"/>
      <c r="BT34" s="42"/>
      <c r="BU34" s="42"/>
      <c r="BV34" s="42"/>
      <c r="BW34" s="39"/>
      <c r="BX34" s="39"/>
      <c r="BY34" s="39"/>
      <c r="BZ34" s="39"/>
      <c r="CA34" s="39"/>
      <c r="CB34" s="27" t="s">
        <v>95</v>
      </c>
      <c r="CC34" s="27" t="s">
        <v>96</v>
      </c>
      <c r="CD34" s="27" t="s">
        <v>95</v>
      </c>
      <c r="CE34" s="27" t="s">
        <v>265</v>
      </c>
      <c r="CF34" s="27"/>
      <c r="CG34" s="27" t="s">
        <v>96</v>
      </c>
      <c r="CH34" s="27" t="s">
        <v>96</v>
      </c>
      <c r="CI34" s="27" t="s">
        <v>95</v>
      </c>
      <c r="CJ34" s="27" t="s">
        <v>123</v>
      </c>
      <c r="CK34" s="27"/>
      <c r="CL34" s="27" t="s">
        <v>96</v>
      </c>
      <c r="CM34" s="27" t="s">
        <v>266</v>
      </c>
      <c r="CN34" s="27"/>
      <c r="CO34" s="27"/>
      <c r="CP34" s="27"/>
      <c r="CQ34" s="27"/>
      <c r="CR34" s="43" t="s">
        <v>96</v>
      </c>
      <c r="CS34" s="43"/>
      <c r="CT34" s="43"/>
      <c r="CU34" s="43"/>
      <c r="CV34" s="43" t="s">
        <v>96</v>
      </c>
      <c r="CW34" s="43"/>
      <c r="CX34" s="43"/>
      <c r="CY34" s="43" t="s">
        <v>106</v>
      </c>
      <c r="CZ34" s="43" t="s">
        <v>198</v>
      </c>
      <c r="DA34" s="43" t="s">
        <v>107</v>
      </c>
      <c r="DB34" s="43"/>
      <c r="DC34" s="43"/>
      <c r="DD34" s="43"/>
      <c r="DE34" s="43"/>
      <c r="DF34" s="43"/>
    </row>
    <row r="35" spans="1:110" ht="14">
      <c r="A35" s="27" t="s">
        <v>267</v>
      </c>
      <c r="B35" s="33" t="s">
        <v>1693</v>
      </c>
      <c r="C35" s="27" t="s">
        <v>268</v>
      </c>
      <c r="D35" s="27" t="s">
        <v>1651</v>
      </c>
      <c r="E35" s="27" t="s">
        <v>1651</v>
      </c>
      <c r="F35" s="39">
        <v>1749857620.3499999</v>
      </c>
      <c r="G35" s="39">
        <v>512346</v>
      </c>
      <c r="H35" s="40">
        <v>2015</v>
      </c>
      <c r="I35" s="39">
        <v>163443.49745999998</v>
      </c>
      <c r="J35" s="27" t="s">
        <v>94</v>
      </c>
      <c r="K35" s="41">
        <v>0.87399999999999978</v>
      </c>
      <c r="L35" s="39">
        <v>180233.43075889689</v>
      </c>
      <c r="M35" s="39">
        <v>518434.99999999994</v>
      </c>
      <c r="N35" s="41">
        <v>0.95246312702123082</v>
      </c>
      <c r="O35" s="39">
        <v>192452.87738394787</v>
      </c>
      <c r="P35" s="39">
        <v>537460</v>
      </c>
      <c r="Q35" s="41">
        <v>0.98103702083186772</v>
      </c>
      <c r="R35" s="39">
        <v>242748.33992813277</v>
      </c>
      <c r="S35" s="39">
        <v>556620</v>
      </c>
      <c r="T35" s="41">
        <v>1.19482581475438</v>
      </c>
      <c r="U35" s="39">
        <v>281092.62289019272</v>
      </c>
      <c r="V35" s="39">
        <v>566068</v>
      </c>
      <c r="W35" s="41">
        <v>1.3604668962768147</v>
      </c>
      <c r="X35" s="42">
        <v>0.17399999999999999</v>
      </c>
      <c r="Y35" s="42">
        <v>0.13200000000000001</v>
      </c>
      <c r="Z35" s="42">
        <v>3.5999999999999997E-2</v>
      </c>
      <c r="AA35" s="42">
        <v>0.10100000000000001</v>
      </c>
      <c r="AB35" s="42">
        <v>9.7000000000000003E-2</v>
      </c>
      <c r="AC35" s="42"/>
      <c r="AD35" s="42">
        <v>1.7999999999999999E-2</v>
      </c>
      <c r="AE35" s="42"/>
      <c r="AF35" s="42">
        <v>5.5E-2</v>
      </c>
      <c r="AG35" s="42">
        <v>1.4E-2</v>
      </c>
      <c r="AH35" s="42">
        <v>5.0000000000000001E-3</v>
      </c>
      <c r="AI35" s="42">
        <v>7.6999999999999999E-2</v>
      </c>
      <c r="AJ35" s="42">
        <v>0.29099999999999998</v>
      </c>
      <c r="AK35" s="39"/>
      <c r="AL35" s="39"/>
      <c r="AM35" s="39"/>
      <c r="AN35" s="39">
        <v>3000</v>
      </c>
      <c r="AO35" s="39">
        <v>3549</v>
      </c>
      <c r="AP35" s="39"/>
      <c r="AQ35" s="39"/>
      <c r="AR35" s="39">
        <v>76</v>
      </c>
      <c r="AS35" s="42"/>
      <c r="AT35" s="42"/>
      <c r="AU35" s="42"/>
      <c r="AV35" s="42">
        <v>0.52200000000000002</v>
      </c>
      <c r="AW35" s="42"/>
      <c r="AX35" s="42"/>
      <c r="AY35" s="42">
        <v>0.82099999999999995</v>
      </c>
      <c r="AZ35" s="42"/>
      <c r="BA35" s="42"/>
      <c r="BB35" s="42">
        <v>0.96699999999999997</v>
      </c>
      <c r="BC35" s="42"/>
      <c r="BD35" s="42">
        <v>0.94499999999999995</v>
      </c>
      <c r="BE35" s="42"/>
      <c r="BF35" s="42">
        <v>5.0999999999999997E-2</v>
      </c>
      <c r="BG35" s="42"/>
      <c r="BH35" s="42"/>
      <c r="BI35" s="42"/>
      <c r="BJ35" s="42"/>
      <c r="BK35" s="42"/>
      <c r="BL35" s="42"/>
      <c r="BM35" s="42"/>
      <c r="BN35" s="42"/>
      <c r="BO35" s="42"/>
      <c r="BP35" s="42"/>
      <c r="BQ35" s="42">
        <v>0.44900000000000001</v>
      </c>
      <c r="BR35" s="42">
        <v>0.53200000000000003</v>
      </c>
      <c r="BS35" s="42"/>
      <c r="BT35" s="42"/>
      <c r="BU35" s="42"/>
      <c r="BV35" s="42">
        <v>1.9E-2</v>
      </c>
      <c r="BW35" s="39"/>
      <c r="BX35" s="39"/>
      <c r="BY35" s="39"/>
      <c r="BZ35" s="39"/>
      <c r="CA35" s="39"/>
      <c r="CB35" s="27" t="s">
        <v>96</v>
      </c>
      <c r="CC35" s="27" t="s">
        <v>96</v>
      </c>
      <c r="CD35" s="27" t="s">
        <v>95</v>
      </c>
      <c r="CE35" s="27" t="s">
        <v>269</v>
      </c>
      <c r="CF35" s="27" t="s">
        <v>96</v>
      </c>
      <c r="CG35" s="27" t="s">
        <v>96</v>
      </c>
      <c r="CH35" s="27" t="s">
        <v>95</v>
      </c>
      <c r="CI35" s="27"/>
      <c r="CJ35" s="27" t="s">
        <v>1631</v>
      </c>
      <c r="CK35" s="27"/>
      <c r="CL35" s="27" t="s">
        <v>96</v>
      </c>
      <c r="CM35" s="27" t="s">
        <v>270</v>
      </c>
      <c r="CN35" s="27"/>
      <c r="CO35" s="27"/>
      <c r="CP35" s="27"/>
      <c r="CQ35" s="27"/>
      <c r="CR35" s="43" t="s">
        <v>96</v>
      </c>
      <c r="CS35" s="43" t="s">
        <v>96</v>
      </c>
      <c r="CT35" s="43"/>
      <c r="CU35" s="43"/>
      <c r="CV35" s="43"/>
      <c r="CW35" s="43"/>
      <c r="CX35" s="43"/>
      <c r="CY35" s="43" t="s">
        <v>1723</v>
      </c>
      <c r="CZ35" s="43" t="s">
        <v>109</v>
      </c>
      <c r="DA35" s="43" t="s">
        <v>1470</v>
      </c>
      <c r="DB35" s="43"/>
      <c r="DC35" s="43"/>
      <c r="DD35" s="43"/>
      <c r="DE35" s="43"/>
      <c r="DF35" s="43"/>
    </row>
    <row r="36" spans="1:110" ht="14">
      <c r="A36" s="27" t="s">
        <v>271</v>
      </c>
      <c r="B36" s="47" t="s">
        <v>1712</v>
      </c>
      <c r="C36" s="27" t="s">
        <v>272</v>
      </c>
      <c r="D36" s="27" t="s">
        <v>1651</v>
      </c>
      <c r="E36" s="27" t="s">
        <v>1651</v>
      </c>
      <c r="F36" s="39">
        <v>34818073901</v>
      </c>
      <c r="G36" s="39">
        <v>16591105</v>
      </c>
      <c r="H36" s="40">
        <v>2020</v>
      </c>
      <c r="I36" s="39">
        <v>4780000</v>
      </c>
      <c r="J36" s="27" t="s">
        <v>94</v>
      </c>
      <c r="K36" s="41">
        <v>0.78933201923313145</v>
      </c>
      <c r="L36" s="39">
        <v>5168116.8376627294</v>
      </c>
      <c r="M36" s="39">
        <v>17088769</v>
      </c>
      <c r="N36" s="41">
        <v>0.82856899831547848</v>
      </c>
      <c r="O36" s="39">
        <v>5835819.4797286205</v>
      </c>
      <c r="P36" s="39">
        <v>18734542</v>
      </c>
      <c r="Q36" s="41">
        <v>0.85342606826494283</v>
      </c>
      <c r="R36" s="39">
        <v>6565438.6661190158</v>
      </c>
      <c r="S36" s="39">
        <v>20462927</v>
      </c>
      <c r="T36" s="41">
        <v>0.87902885031289113</v>
      </c>
      <c r="U36" s="39">
        <v>7228625.8704458904</v>
      </c>
      <c r="V36" s="39">
        <v>21873714</v>
      </c>
      <c r="W36" s="41">
        <v>0.90539971582227785</v>
      </c>
      <c r="X36" s="42">
        <v>0.55000000000000004</v>
      </c>
      <c r="Y36" s="42">
        <v>0.08</v>
      </c>
      <c r="Z36" s="42">
        <v>7.0000000000000007E-2</v>
      </c>
      <c r="AA36" s="42">
        <v>0.03</v>
      </c>
      <c r="AB36" s="42">
        <v>0.1</v>
      </c>
      <c r="AC36" s="42"/>
      <c r="AD36" s="42"/>
      <c r="AE36" s="42"/>
      <c r="AF36" s="42"/>
      <c r="AG36" s="42"/>
      <c r="AH36" s="42"/>
      <c r="AI36" s="42"/>
      <c r="AJ36" s="42">
        <v>0.17</v>
      </c>
      <c r="AK36" s="39"/>
      <c r="AL36" s="39"/>
      <c r="AM36" s="39"/>
      <c r="AN36" s="39">
        <v>25000</v>
      </c>
      <c r="AO36" s="39"/>
      <c r="AP36" s="39"/>
      <c r="AQ36" s="39"/>
      <c r="AR36" s="39"/>
      <c r="AS36" s="42"/>
      <c r="AT36" s="42"/>
      <c r="AU36" s="42"/>
      <c r="AV36" s="42"/>
      <c r="AW36" s="42"/>
      <c r="AX36" s="42"/>
      <c r="AY36" s="42"/>
      <c r="AZ36" s="42">
        <v>0.54</v>
      </c>
      <c r="BA36" s="42"/>
      <c r="BB36" s="42"/>
      <c r="BC36" s="42"/>
      <c r="BD36" s="42"/>
      <c r="BE36" s="42"/>
      <c r="BF36" s="42"/>
      <c r="BG36" s="42">
        <v>0.44</v>
      </c>
      <c r="BH36" s="42"/>
      <c r="BI36" s="42">
        <v>0.02</v>
      </c>
      <c r="BJ36" s="42">
        <v>0.04</v>
      </c>
      <c r="BK36" s="42">
        <v>0.04</v>
      </c>
      <c r="BL36" s="42"/>
      <c r="BM36" s="42"/>
      <c r="BN36" s="42"/>
      <c r="BO36" s="42">
        <v>0.46</v>
      </c>
      <c r="BP36" s="42"/>
      <c r="BQ36" s="42"/>
      <c r="BR36" s="42"/>
      <c r="BS36" s="42"/>
      <c r="BT36" s="42"/>
      <c r="BU36" s="42"/>
      <c r="BV36" s="42"/>
      <c r="BW36" s="39"/>
      <c r="BX36" s="39"/>
      <c r="BY36" s="39"/>
      <c r="BZ36" s="39"/>
      <c r="CA36" s="39"/>
      <c r="CB36" s="27" t="s">
        <v>96</v>
      </c>
      <c r="CC36" s="27" t="s">
        <v>96</v>
      </c>
      <c r="CD36" s="27" t="s">
        <v>96</v>
      </c>
      <c r="CE36" s="27" t="s">
        <v>273</v>
      </c>
      <c r="CF36" s="27" t="s">
        <v>96</v>
      </c>
      <c r="CG36" s="27" t="s">
        <v>96</v>
      </c>
      <c r="CH36" s="27" t="s">
        <v>96</v>
      </c>
      <c r="CI36" s="27" t="s">
        <v>274</v>
      </c>
      <c r="CJ36" s="27" t="s">
        <v>1545</v>
      </c>
      <c r="CK36" s="27"/>
      <c r="CL36" s="27" t="s">
        <v>96</v>
      </c>
      <c r="CM36" s="43" t="s">
        <v>275</v>
      </c>
      <c r="CN36" s="27" t="s">
        <v>95</v>
      </c>
      <c r="CO36" s="43"/>
      <c r="CP36" s="43"/>
      <c r="CQ36" s="43"/>
      <c r="CR36" s="43" t="s">
        <v>96</v>
      </c>
      <c r="CS36" s="43" t="s">
        <v>96</v>
      </c>
      <c r="CT36" s="43"/>
      <c r="CU36" s="43"/>
      <c r="CV36" s="43"/>
      <c r="CW36" s="43"/>
      <c r="CX36" s="43"/>
      <c r="CY36" s="43" t="s">
        <v>106</v>
      </c>
      <c r="CZ36" s="43" t="s">
        <v>198</v>
      </c>
      <c r="DA36" s="43" t="s">
        <v>1471</v>
      </c>
      <c r="DB36" s="43"/>
      <c r="DC36" s="43"/>
      <c r="DD36" s="43"/>
      <c r="DE36" s="43"/>
      <c r="DF36" s="43"/>
    </row>
    <row r="37" spans="1:110" ht="14">
      <c r="A37" s="27" t="s">
        <v>276</v>
      </c>
      <c r="B37" s="33" t="s">
        <v>1693</v>
      </c>
      <c r="C37" s="27" t="s">
        <v>277</v>
      </c>
      <c r="D37" s="27" t="s">
        <v>1651</v>
      </c>
      <c r="E37" s="27" t="s">
        <v>1651</v>
      </c>
      <c r="F37" s="39">
        <v>44347206073</v>
      </c>
      <c r="G37" s="39">
        <v>27267710</v>
      </c>
      <c r="H37" s="40">
        <v>2022</v>
      </c>
      <c r="I37" s="39">
        <v>6000000</v>
      </c>
      <c r="J37" s="27" t="s">
        <v>94</v>
      </c>
      <c r="K37" s="41">
        <v>0.60285063044837872</v>
      </c>
      <c r="L37" s="39">
        <v>6000000.0000000009</v>
      </c>
      <c r="M37" s="39">
        <v>27267710</v>
      </c>
      <c r="N37" s="41">
        <v>0.60285063044837872</v>
      </c>
      <c r="O37" s="39">
        <v>8389554.3716880195</v>
      </c>
      <c r="P37" s="39">
        <v>33375091.999999996</v>
      </c>
      <c r="Q37" s="41">
        <v>0.68868965126382697</v>
      </c>
      <c r="R37" s="39">
        <v>13509372.988094013</v>
      </c>
      <c r="S37" s="39">
        <v>41770056</v>
      </c>
      <c r="T37" s="41">
        <v>0.88608884769746699</v>
      </c>
      <c r="U37" s="39">
        <v>20780824.907949854</v>
      </c>
      <c r="V37" s="39">
        <v>50651206</v>
      </c>
      <c r="W37" s="41">
        <v>1.1240357607891012</v>
      </c>
      <c r="X37" s="42">
        <v>0.83399999999999996</v>
      </c>
      <c r="Y37" s="42">
        <v>1E-3</v>
      </c>
      <c r="Z37" s="42">
        <v>7.0000000000000001E-3</v>
      </c>
      <c r="AA37" s="42">
        <v>2.1000000000000001E-2</v>
      </c>
      <c r="AB37" s="42">
        <v>3.3000000000000002E-2</v>
      </c>
      <c r="AC37" s="42"/>
      <c r="AD37" s="42"/>
      <c r="AE37" s="42"/>
      <c r="AF37" s="42">
        <v>2.8000000000000001E-2</v>
      </c>
      <c r="AG37" s="42"/>
      <c r="AH37" s="42"/>
      <c r="AI37" s="42"/>
      <c r="AJ37" s="42">
        <v>7.5999999999999998E-2</v>
      </c>
      <c r="AK37" s="39"/>
      <c r="AL37" s="39"/>
      <c r="AM37" s="39"/>
      <c r="AN37" s="39">
        <v>33497.440000000002</v>
      </c>
      <c r="AO37" s="39">
        <v>126906</v>
      </c>
      <c r="AP37" s="39"/>
      <c r="AQ37" s="39"/>
      <c r="AR37" s="39">
        <v>12915</v>
      </c>
      <c r="AS37" s="42"/>
      <c r="AT37" s="42"/>
      <c r="AU37" s="42"/>
      <c r="AV37" s="42"/>
      <c r="AW37" s="42"/>
      <c r="AX37" s="42"/>
      <c r="AY37" s="42">
        <v>0.61599999999999999</v>
      </c>
      <c r="AZ37" s="42"/>
      <c r="BA37" s="42"/>
      <c r="BB37" s="42"/>
      <c r="BC37" s="42"/>
      <c r="BD37" s="42"/>
      <c r="BE37" s="42"/>
      <c r="BF37" s="42"/>
      <c r="BG37" s="42"/>
      <c r="BH37" s="42"/>
      <c r="BI37" s="42"/>
      <c r="BJ37" s="42"/>
      <c r="BK37" s="42"/>
      <c r="BL37" s="42"/>
      <c r="BM37" s="42"/>
      <c r="BN37" s="42"/>
      <c r="BO37" s="42"/>
      <c r="BP37" s="42"/>
      <c r="BQ37" s="42"/>
      <c r="BR37" s="42"/>
      <c r="BS37" s="42"/>
      <c r="BT37" s="42"/>
      <c r="BU37" s="42"/>
      <c r="BV37" s="42"/>
      <c r="BW37" s="39"/>
      <c r="BX37" s="39"/>
      <c r="BY37" s="39"/>
      <c r="BZ37" s="39"/>
      <c r="CA37" s="39"/>
      <c r="CB37" s="27" t="s">
        <v>95</v>
      </c>
      <c r="CC37" s="27" t="s">
        <v>96</v>
      </c>
      <c r="CD37" s="27" t="s">
        <v>96</v>
      </c>
      <c r="CE37" s="27" t="s">
        <v>278</v>
      </c>
      <c r="CF37" s="27" t="s">
        <v>96</v>
      </c>
      <c r="CG37" s="27" t="s">
        <v>96</v>
      </c>
      <c r="CH37" s="27"/>
      <c r="CI37" s="27"/>
      <c r="CJ37" s="27" t="s">
        <v>1632</v>
      </c>
      <c r="CK37" s="27"/>
      <c r="CL37" s="27" t="s">
        <v>96</v>
      </c>
      <c r="CM37" s="27" t="s">
        <v>279</v>
      </c>
      <c r="CN37" s="27" t="s">
        <v>96</v>
      </c>
      <c r="CO37" s="27"/>
      <c r="CP37" s="27"/>
      <c r="CQ37" s="27"/>
      <c r="CR37" s="43" t="s">
        <v>96</v>
      </c>
      <c r="CS37" s="43" t="s">
        <v>96</v>
      </c>
      <c r="CT37" s="43"/>
      <c r="CU37" s="43"/>
      <c r="CV37" s="43"/>
      <c r="CW37" s="43"/>
      <c r="CX37" s="43"/>
      <c r="CY37" s="43" t="s">
        <v>1723</v>
      </c>
      <c r="CZ37" s="43" t="s">
        <v>148</v>
      </c>
      <c r="DA37" s="43" t="s">
        <v>197</v>
      </c>
      <c r="DB37" s="43"/>
      <c r="DC37" s="43"/>
      <c r="DD37" s="43"/>
      <c r="DE37" s="43"/>
      <c r="DF37" s="43"/>
    </row>
    <row r="38" spans="1:110" ht="14">
      <c r="A38" s="27" t="s">
        <v>280</v>
      </c>
      <c r="B38" s="33" t="s">
        <v>1716</v>
      </c>
      <c r="C38" s="27" t="s">
        <v>281</v>
      </c>
      <c r="D38" s="27" t="s">
        <v>122</v>
      </c>
      <c r="E38" s="27" t="s">
        <v>122</v>
      </c>
      <c r="F38" s="39">
        <v>1725329192783</v>
      </c>
      <c r="G38" s="39">
        <v>37042624</v>
      </c>
      <c r="H38" s="40">
        <v>2018</v>
      </c>
      <c r="I38" s="39">
        <v>30452356</v>
      </c>
      <c r="J38" s="27" t="s">
        <v>94</v>
      </c>
      <c r="K38" s="41">
        <v>2.2523002778843941</v>
      </c>
      <c r="L38" s="39">
        <v>31783357.137106657</v>
      </c>
      <c r="M38" s="39">
        <v>38582793</v>
      </c>
      <c r="N38" s="41">
        <v>2.2569048017491524</v>
      </c>
      <c r="O38" s="39">
        <v>35191790.048145443</v>
      </c>
      <c r="P38" s="39">
        <v>41517670</v>
      </c>
      <c r="Q38" s="41">
        <v>2.3222850209465986</v>
      </c>
      <c r="R38" s="39">
        <v>38843769.755950816</v>
      </c>
      <c r="S38" s="39">
        <v>43857762</v>
      </c>
      <c r="T38" s="41">
        <v>2.4265097476383994</v>
      </c>
      <c r="U38" s="39">
        <v>41771055.743256316</v>
      </c>
      <c r="V38" s="39">
        <v>45546625</v>
      </c>
      <c r="W38" s="41">
        <v>2.51261753448606</v>
      </c>
      <c r="X38" s="42">
        <v>0.26536482103387998</v>
      </c>
      <c r="Y38" s="42">
        <v>2.42362856916555E-2</v>
      </c>
      <c r="Z38" s="42">
        <v>3.3082432111328303E-2</v>
      </c>
      <c r="AA38" s="42">
        <v>0.140844898831473</v>
      </c>
      <c r="AB38" s="42">
        <v>0.11829373727274201</v>
      </c>
      <c r="AC38" s="42">
        <v>1.0869438147905501E-2</v>
      </c>
      <c r="AD38" s="42">
        <v>8.0814765202403396E-2</v>
      </c>
      <c r="AE38" s="42">
        <v>3.5859294433573503E-2</v>
      </c>
      <c r="AF38" s="42">
        <v>1.33128287348276E-2</v>
      </c>
      <c r="AG38" s="42">
        <v>1.4884562626287399E-2</v>
      </c>
      <c r="AH38" s="42">
        <v>1.23143181433975E-2</v>
      </c>
      <c r="AI38" s="42">
        <v>2.3446461745028901E-2</v>
      </c>
      <c r="AJ38" s="42">
        <v>0.22667615602549801</v>
      </c>
      <c r="AK38" s="39"/>
      <c r="AL38" s="39">
        <v>180960</v>
      </c>
      <c r="AM38" s="39">
        <v>4000000</v>
      </c>
      <c r="AN38" s="39">
        <v>774000</v>
      </c>
      <c r="AO38" s="39">
        <v>6000000</v>
      </c>
      <c r="AP38" s="39"/>
      <c r="AQ38" s="39">
        <v>1118000000</v>
      </c>
      <c r="AR38" s="39"/>
      <c r="AS38" s="42"/>
      <c r="AT38" s="42"/>
      <c r="AU38" s="42"/>
      <c r="AV38" s="42"/>
      <c r="AW38" s="42"/>
      <c r="AX38" s="42"/>
      <c r="AY38" s="42"/>
      <c r="AZ38" s="42"/>
      <c r="BA38" s="42"/>
      <c r="BB38" s="42"/>
      <c r="BC38" s="42"/>
      <c r="BD38" s="42"/>
      <c r="BE38" s="42"/>
      <c r="BF38" s="42"/>
      <c r="BG38" s="42">
        <v>0.62541514705933798</v>
      </c>
      <c r="BH38" s="42"/>
      <c r="BI38" s="42"/>
      <c r="BJ38" s="42">
        <v>0.35524211643367298</v>
      </c>
      <c r="BK38" s="42">
        <v>1.93427365069898E-2</v>
      </c>
      <c r="BL38" s="42"/>
      <c r="BM38" s="42"/>
      <c r="BN38" s="42"/>
      <c r="BO38" s="42"/>
      <c r="BP38" s="42"/>
      <c r="BQ38" s="42"/>
      <c r="BR38" s="42"/>
      <c r="BS38" s="42"/>
      <c r="BT38" s="42"/>
      <c r="BU38" s="42"/>
      <c r="BV38" s="42"/>
      <c r="BW38" s="39">
        <v>39000</v>
      </c>
      <c r="BX38" s="39"/>
      <c r="BY38" s="39"/>
      <c r="BZ38" s="39"/>
      <c r="CA38" s="39"/>
      <c r="CB38" s="27" t="s">
        <v>96</v>
      </c>
      <c r="CC38" s="27" t="s">
        <v>96</v>
      </c>
      <c r="CD38" s="27" t="s">
        <v>96</v>
      </c>
      <c r="CE38" s="27" t="s">
        <v>282</v>
      </c>
      <c r="CF38" s="27" t="s">
        <v>96</v>
      </c>
      <c r="CG38" s="27" t="s">
        <v>96</v>
      </c>
      <c r="CH38" s="27" t="s">
        <v>96</v>
      </c>
      <c r="CI38" s="27" t="s">
        <v>283</v>
      </c>
      <c r="CJ38" s="27" t="s">
        <v>1555</v>
      </c>
      <c r="CK38" s="27"/>
      <c r="CL38" s="27" t="s">
        <v>96</v>
      </c>
      <c r="CM38" s="27" t="s">
        <v>284</v>
      </c>
      <c r="CN38" s="27" t="s">
        <v>96</v>
      </c>
      <c r="CO38" s="27"/>
      <c r="CP38" s="27" t="s">
        <v>96</v>
      </c>
      <c r="CQ38" s="27"/>
      <c r="CR38" s="43" t="s">
        <v>96</v>
      </c>
      <c r="CS38" s="43" t="s">
        <v>96</v>
      </c>
      <c r="CT38" s="43"/>
      <c r="CU38" s="43"/>
      <c r="CV38" s="43" t="s">
        <v>96</v>
      </c>
      <c r="CW38" s="43" t="s">
        <v>96</v>
      </c>
      <c r="CX38" s="43" t="s">
        <v>96</v>
      </c>
      <c r="CY38" s="43" t="s">
        <v>1723</v>
      </c>
      <c r="CZ38" s="43" t="s">
        <v>109</v>
      </c>
      <c r="DA38" s="43" t="s">
        <v>1470</v>
      </c>
      <c r="DB38" s="43" t="s">
        <v>96</v>
      </c>
      <c r="DC38" s="43" t="s">
        <v>162</v>
      </c>
      <c r="DD38" s="43" t="s">
        <v>1069</v>
      </c>
      <c r="DE38" s="43" t="s">
        <v>109</v>
      </c>
      <c r="DF38" s="43" t="s">
        <v>1470</v>
      </c>
    </row>
    <row r="39" spans="1:110" ht="14">
      <c r="A39" s="27" t="s">
        <v>285</v>
      </c>
      <c r="B39" s="27" t="s">
        <v>1714</v>
      </c>
      <c r="C39" s="27" t="s">
        <v>286</v>
      </c>
      <c r="D39" s="27" t="s">
        <v>122</v>
      </c>
      <c r="E39" s="27" t="s">
        <v>122</v>
      </c>
      <c r="F39" s="39">
        <v>6600843963</v>
      </c>
      <c r="G39" s="39">
        <v>70863</v>
      </c>
      <c r="H39" s="40">
        <v>2022</v>
      </c>
      <c r="I39" s="39">
        <v>83590</v>
      </c>
      <c r="J39" s="27" t="s">
        <v>194</v>
      </c>
      <c r="K39" s="41">
        <v>3.2317810229617288</v>
      </c>
      <c r="L39" s="39">
        <v>83590</v>
      </c>
      <c r="M39" s="39">
        <v>70863</v>
      </c>
      <c r="N39" s="41">
        <v>3.2317810229617288</v>
      </c>
      <c r="O39" s="39">
        <v>92426.841449655403</v>
      </c>
      <c r="P39" s="39">
        <v>81781</v>
      </c>
      <c r="Q39" s="41">
        <v>3.0963698554644821</v>
      </c>
      <c r="R39" s="39">
        <v>102348.47075374375</v>
      </c>
      <c r="S39" s="39">
        <v>93552</v>
      </c>
      <c r="T39" s="41">
        <v>2.9973359114539408</v>
      </c>
      <c r="U39" s="39">
        <v>108732.35452650789</v>
      </c>
      <c r="V39" s="39">
        <v>103508</v>
      </c>
      <c r="W39" s="41">
        <v>2.8780080932532748</v>
      </c>
      <c r="X39" s="42"/>
      <c r="Y39" s="42"/>
      <c r="Z39" s="42"/>
      <c r="AA39" s="42"/>
      <c r="AB39" s="42"/>
      <c r="AC39" s="42"/>
      <c r="AD39" s="42"/>
      <c r="AE39" s="42"/>
      <c r="AF39" s="42"/>
      <c r="AG39" s="42"/>
      <c r="AH39" s="42"/>
      <c r="AI39" s="42"/>
      <c r="AJ39" s="42"/>
      <c r="AK39" s="39"/>
      <c r="AL39" s="39"/>
      <c r="AM39" s="39"/>
      <c r="AN39" s="39"/>
      <c r="AO39" s="39"/>
      <c r="AP39" s="39"/>
      <c r="AQ39" s="39"/>
      <c r="AR39" s="39"/>
      <c r="AS39" s="42"/>
      <c r="AT39" s="42"/>
      <c r="AU39" s="42"/>
      <c r="AV39" s="42"/>
      <c r="AW39" s="42"/>
      <c r="AX39" s="42"/>
      <c r="AY39" s="42"/>
      <c r="AZ39" s="42"/>
      <c r="BA39" s="42"/>
      <c r="BB39" s="42"/>
      <c r="BC39" s="42"/>
      <c r="BD39" s="42"/>
      <c r="BE39" s="42"/>
      <c r="BF39" s="42"/>
      <c r="BG39" s="42">
        <v>0.97909999999999997</v>
      </c>
      <c r="BH39" s="42"/>
      <c r="BI39" s="42"/>
      <c r="BJ39" s="42">
        <v>1.8200000000000001E-2</v>
      </c>
      <c r="BK39" s="42">
        <v>2.7000000000000001E-3</v>
      </c>
      <c r="BL39" s="42"/>
      <c r="BM39" s="42"/>
      <c r="BN39" s="42"/>
      <c r="BO39" s="42"/>
      <c r="BP39" s="42"/>
      <c r="BQ39" s="42"/>
      <c r="BR39" s="42"/>
      <c r="BS39" s="42"/>
      <c r="BT39" s="42"/>
      <c r="BU39" s="42"/>
      <c r="BV39" s="42"/>
      <c r="BW39" s="39"/>
      <c r="BX39" s="39"/>
      <c r="BY39" s="39"/>
      <c r="BZ39" s="39"/>
      <c r="CA39" s="39"/>
      <c r="CB39" s="27" t="s">
        <v>96</v>
      </c>
      <c r="CC39" s="27" t="s">
        <v>95</v>
      </c>
      <c r="CD39" s="27" t="s">
        <v>96</v>
      </c>
      <c r="CE39" s="27" t="s">
        <v>287</v>
      </c>
      <c r="CF39" s="27" t="s">
        <v>96</v>
      </c>
      <c r="CG39" s="27"/>
      <c r="CH39" s="27" t="s">
        <v>96</v>
      </c>
      <c r="CI39" s="27" t="s">
        <v>288</v>
      </c>
      <c r="CJ39" s="27" t="s">
        <v>123</v>
      </c>
      <c r="CK39" s="27"/>
      <c r="CL39" s="27" t="s">
        <v>96</v>
      </c>
      <c r="CM39" s="27" t="s">
        <v>289</v>
      </c>
      <c r="CN39" s="27" t="s">
        <v>95</v>
      </c>
      <c r="CO39" s="27"/>
      <c r="CP39" s="27" t="s">
        <v>95</v>
      </c>
      <c r="CQ39" s="27"/>
      <c r="CR39" s="43"/>
      <c r="CS39" s="43"/>
      <c r="CT39" s="43"/>
      <c r="CU39" s="43"/>
      <c r="CV39" s="43"/>
      <c r="CW39" s="43"/>
      <c r="CX39" s="43"/>
      <c r="CY39" s="43"/>
      <c r="CZ39" s="43"/>
      <c r="DA39" s="43"/>
      <c r="DB39" s="43"/>
      <c r="DC39" s="43"/>
      <c r="DD39" s="43"/>
      <c r="DE39" s="43"/>
      <c r="DF39" s="43"/>
    </row>
    <row r="40" spans="1:110" ht="14">
      <c r="A40" s="27" t="s">
        <v>290</v>
      </c>
      <c r="B40" s="33" t="s">
        <v>1693</v>
      </c>
      <c r="C40" s="27" t="s">
        <v>291</v>
      </c>
      <c r="D40" s="27" t="s">
        <v>93</v>
      </c>
      <c r="E40" s="27" t="s">
        <v>93</v>
      </c>
      <c r="F40" s="39">
        <v>1894813389.4000001</v>
      </c>
      <c r="G40" s="39">
        <v>4656480</v>
      </c>
      <c r="H40" s="40">
        <v>2014</v>
      </c>
      <c r="I40" s="39">
        <v>1153642.92</v>
      </c>
      <c r="J40" s="27" t="s">
        <v>94</v>
      </c>
      <c r="K40" s="41">
        <v>0.67876712328767119</v>
      </c>
      <c r="L40" s="39">
        <v>1364646.8381652108</v>
      </c>
      <c r="M40" s="39">
        <v>5131487</v>
      </c>
      <c r="N40" s="41">
        <v>0.72859162670130606</v>
      </c>
      <c r="O40" s="39">
        <v>1735028.8366375531</v>
      </c>
      <c r="P40" s="39">
        <v>6378246</v>
      </c>
      <c r="Q40" s="41">
        <v>0.74526816024667186</v>
      </c>
      <c r="R40" s="39">
        <v>2360458.2759939777</v>
      </c>
      <c r="S40" s="39">
        <v>8424685</v>
      </c>
      <c r="T40" s="41">
        <v>0.76762620505407209</v>
      </c>
      <c r="U40" s="39">
        <v>3032409.4097721097</v>
      </c>
      <c r="V40" s="39">
        <v>10507707</v>
      </c>
      <c r="W40" s="41">
        <v>0.79065499120569427</v>
      </c>
      <c r="X40" s="42"/>
      <c r="Y40" s="42"/>
      <c r="Z40" s="42"/>
      <c r="AA40" s="42"/>
      <c r="AB40" s="42"/>
      <c r="AC40" s="42"/>
      <c r="AD40" s="42"/>
      <c r="AE40" s="42"/>
      <c r="AF40" s="42"/>
      <c r="AG40" s="42"/>
      <c r="AH40" s="42"/>
      <c r="AI40" s="42"/>
      <c r="AJ40" s="42"/>
      <c r="AK40" s="39"/>
      <c r="AL40" s="39"/>
      <c r="AM40" s="39"/>
      <c r="AN40" s="39">
        <v>3000</v>
      </c>
      <c r="AO40" s="39"/>
      <c r="AP40" s="39"/>
      <c r="AQ40" s="39"/>
      <c r="AR40" s="39"/>
      <c r="AS40" s="42"/>
      <c r="AT40" s="42"/>
      <c r="AU40" s="42"/>
      <c r="AV40" s="42"/>
      <c r="AW40" s="42"/>
      <c r="AX40" s="42"/>
      <c r="AY40" s="42"/>
      <c r="AZ40" s="42"/>
      <c r="BA40" s="42"/>
      <c r="BB40" s="42"/>
      <c r="BC40" s="42"/>
      <c r="BD40" s="42"/>
      <c r="BE40" s="42"/>
      <c r="BF40" s="42"/>
      <c r="BG40" s="42"/>
      <c r="BH40" s="42"/>
      <c r="BI40" s="42"/>
      <c r="BJ40" s="42"/>
      <c r="BK40" s="42"/>
      <c r="BL40" s="42"/>
      <c r="BM40" s="42"/>
      <c r="BN40" s="42"/>
      <c r="BO40" s="42"/>
      <c r="BP40" s="42"/>
      <c r="BQ40" s="42"/>
      <c r="BR40" s="42"/>
      <c r="BS40" s="42"/>
      <c r="BT40" s="42"/>
      <c r="BU40" s="42"/>
      <c r="BV40" s="42"/>
      <c r="BW40" s="39"/>
      <c r="BX40" s="39"/>
      <c r="BY40" s="39"/>
      <c r="BZ40" s="39"/>
      <c r="CA40" s="39"/>
      <c r="CB40" s="27" t="s">
        <v>95</v>
      </c>
      <c r="CC40" s="27" t="s">
        <v>96</v>
      </c>
      <c r="CD40" s="27" t="s">
        <v>95</v>
      </c>
      <c r="CE40" s="27" t="s">
        <v>292</v>
      </c>
      <c r="CF40" s="27" t="s">
        <v>96</v>
      </c>
      <c r="CG40" s="27" t="s">
        <v>96</v>
      </c>
      <c r="CH40" s="27" t="s">
        <v>293</v>
      </c>
      <c r="CI40" s="27"/>
      <c r="CJ40" s="27" t="s">
        <v>123</v>
      </c>
      <c r="CK40" s="27"/>
      <c r="CL40" s="27" t="s">
        <v>95</v>
      </c>
      <c r="CM40" s="27"/>
      <c r="CN40" s="27" t="s">
        <v>95</v>
      </c>
      <c r="CO40" s="27"/>
      <c r="CP40" s="27" t="s">
        <v>95</v>
      </c>
      <c r="CQ40" s="27"/>
      <c r="CR40" s="43"/>
      <c r="CS40" s="43"/>
      <c r="CT40" s="43"/>
      <c r="CU40" s="43"/>
      <c r="CV40" s="43"/>
      <c r="CW40" s="43"/>
      <c r="CX40" s="43"/>
      <c r="CY40" s="43"/>
      <c r="CZ40" s="43"/>
      <c r="DA40" s="43"/>
      <c r="DB40" s="43"/>
      <c r="DC40" s="43"/>
      <c r="DD40" s="43"/>
      <c r="DE40" s="43"/>
      <c r="DF40" s="43"/>
    </row>
    <row r="41" spans="1:110" ht="14">
      <c r="A41" s="27" t="s">
        <v>294</v>
      </c>
      <c r="B41" s="33" t="s">
        <v>1693</v>
      </c>
      <c r="C41" s="27" t="s">
        <v>295</v>
      </c>
      <c r="D41" s="27"/>
      <c r="E41" s="27" t="s">
        <v>93</v>
      </c>
      <c r="F41" s="44"/>
      <c r="G41" s="39">
        <v>18142947</v>
      </c>
      <c r="H41" s="40" t="s">
        <v>123</v>
      </c>
      <c r="I41" s="39" t="s">
        <v>1620</v>
      </c>
      <c r="J41" s="27"/>
      <c r="K41" s="41">
        <v>0</v>
      </c>
      <c r="L41" s="39">
        <v>1022677.4096455645</v>
      </c>
      <c r="M41" s="39">
        <v>18142947</v>
      </c>
      <c r="N41" s="41">
        <v>0.15443223842505646</v>
      </c>
      <c r="O41" s="39">
        <v>1393638.917249114</v>
      </c>
      <c r="P41" s="39">
        <v>23866179</v>
      </c>
      <c r="Q41" s="41">
        <v>0.15998324718762624</v>
      </c>
      <c r="R41" s="39">
        <v>1861515.3042298942</v>
      </c>
      <c r="S41" s="39">
        <v>30950097</v>
      </c>
      <c r="T41" s="41">
        <v>0.16478274460325504</v>
      </c>
      <c r="U41" s="39">
        <v>2383192.3536266685</v>
      </c>
      <c r="V41" s="39">
        <v>38469565</v>
      </c>
      <c r="W41" s="41">
        <v>0.1697262269413527</v>
      </c>
      <c r="X41" s="42">
        <v>0.7</v>
      </c>
      <c r="Y41" s="42">
        <v>0.01</v>
      </c>
      <c r="Z41" s="42">
        <v>0.02</v>
      </c>
      <c r="AA41" s="42">
        <v>0.03</v>
      </c>
      <c r="AB41" s="42">
        <v>0.06</v>
      </c>
      <c r="AC41" s="42"/>
      <c r="AD41" s="42"/>
      <c r="AE41" s="42"/>
      <c r="AF41" s="42">
        <v>0.01</v>
      </c>
      <c r="AG41" s="42"/>
      <c r="AH41" s="42"/>
      <c r="AI41" s="42"/>
      <c r="AJ41" s="42">
        <v>0.17</v>
      </c>
      <c r="AK41" s="39"/>
      <c r="AL41" s="39"/>
      <c r="AM41" s="39"/>
      <c r="AN41" s="39">
        <v>12000</v>
      </c>
      <c r="AO41" s="39"/>
      <c r="AP41" s="39"/>
      <c r="AQ41" s="39"/>
      <c r="AR41" s="39"/>
      <c r="AS41" s="42"/>
      <c r="AT41" s="42"/>
      <c r="AU41" s="42"/>
      <c r="AV41" s="42"/>
      <c r="AW41" s="42"/>
      <c r="AX41" s="42"/>
      <c r="AY41" s="42"/>
      <c r="AZ41" s="42"/>
      <c r="BA41" s="42"/>
      <c r="BB41" s="42"/>
      <c r="BC41" s="42"/>
      <c r="BD41" s="42"/>
      <c r="BE41" s="42"/>
      <c r="BF41" s="42"/>
      <c r="BG41" s="42"/>
      <c r="BH41" s="42"/>
      <c r="BI41" s="42"/>
      <c r="BJ41" s="42"/>
      <c r="BK41" s="42"/>
      <c r="BL41" s="42"/>
      <c r="BM41" s="42"/>
      <c r="BN41" s="42"/>
      <c r="BO41" s="42"/>
      <c r="BP41" s="42"/>
      <c r="BQ41" s="42"/>
      <c r="BR41" s="42"/>
      <c r="BS41" s="42"/>
      <c r="BT41" s="42"/>
      <c r="BU41" s="42"/>
      <c r="BV41" s="42"/>
      <c r="BW41" s="39"/>
      <c r="BX41" s="39"/>
      <c r="BY41" s="39"/>
      <c r="BZ41" s="39"/>
      <c r="CA41" s="39"/>
      <c r="CB41" s="27" t="s">
        <v>95</v>
      </c>
      <c r="CC41" s="27" t="s">
        <v>96</v>
      </c>
      <c r="CD41" s="27" t="s">
        <v>96</v>
      </c>
      <c r="CE41" s="27" t="s">
        <v>114</v>
      </c>
      <c r="CF41" s="27" t="s">
        <v>96</v>
      </c>
      <c r="CG41" s="27" t="s">
        <v>96</v>
      </c>
      <c r="CH41" s="27" t="s">
        <v>95</v>
      </c>
      <c r="CI41" s="27" t="s">
        <v>95</v>
      </c>
      <c r="CJ41" s="27" t="s">
        <v>123</v>
      </c>
      <c r="CK41" s="27"/>
      <c r="CL41" s="27" t="s">
        <v>96</v>
      </c>
      <c r="CM41" s="27" t="s">
        <v>296</v>
      </c>
      <c r="CN41" s="27"/>
      <c r="CO41" s="27"/>
      <c r="CP41" s="27"/>
      <c r="CQ41" s="27"/>
      <c r="CR41" s="43"/>
      <c r="CS41" s="43"/>
      <c r="CT41" s="43"/>
      <c r="CU41" s="43"/>
      <c r="CV41" s="43"/>
      <c r="CW41" s="43"/>
      <c r="CX41" s="43"/>
      <c r="CY41" s="43"/>
      <c r="CZ41" s="43"/>
      <c r="DA41" s="43"/>
      <c r="DB41" s="43"/>
      <c r="DC41" s="43"/>
      <c r="DD41" s="43"/>
      <c r="DE41" s="43"/>
      <c r="DF41" s="43"/>
    </row>
    <row r="42" spans="1:110" ht="14">
      <c r="A42" s="27" t="s">
        <v>297</v>
      </c>
      <c r="B42" s="27" t="s">
        <v>1713</v>
      </c>
      <c r="C42" s="27" t="s">
        <v>298</v>
      </c>
      <c r="D42" s="27" t="s">
        <v>122</v>
      </c>
      <c r="E42" s="27" t="s">
        <v>122</v>
      </c>
      <c r="F42" s="39">
        <v>12507927160</v>
      </c>
      <c r="G42" s="39">
        <v>167448</v>
      </c>
      <c r="H42" s="40">
        <v>2023</v>
      </c>
      <c r="I42" s="39">
        <v>60949.159999999989</v>
      </c>
      <c r="J42" s="27" t="s">
        <v>102</v>
      </c>
      <c r="K42" s="41">
        <v>1</v>
      </c>
      <c r="L42" s="39">
        <v>60949.159999999989</v>
      </c>
      <c r="M42" s="39">
        <v>166983.99999999997</v>
      </c>
      <c r="N42" s="41">
        <v>1</v>
      </c>
      <c r="O42" s="39">
        <v>63892.09500936509</v>
      </c>
      <c r="P42" s="39">
        <v>169290</v>
      </c>
      <c r="Q42" s="41">
        <v>1.0340057631407416</v>
      </c>
      <c r="R42" s="39">
        <v>66656.017637697791</v>
      </c>
      <c r="S42" s="39">
        <v>169541</v>
      </c>
      <c r="T42" s="41">
        <v>1.0771390189078245</v>
      </c>
      <c r="U42" s="39">
        <v>68442.482409994191</v>
      </c>
      <c r="V42" s="39">
        <v>167745</v>
      </c>
      <c r="W42" s="41">
        <v>1.1178494169026811</v>
      </c>
      <c r="X42" s="42"/>
      <c r="Y42" s="42"/>
      <c r="Z42" s="42"/>
      <c r="AA42" s="42"/>
      <c r="AB42" s="42"/>
      <c r="AC42" s="42"/>
      <c r="AD42" s="42"/>
      <c r="AE42" s="42"/>
      <c r="AF42" s="42"/>
      <c r="AG42" s="42"/>
      <c r="AH42" s="42"/>
      <c r="AI42" s="42"/>
      <c r="AJ42" s="42"/>
      <c r="AK42" s="39">
        <v>55358.62</v>
      </c>
      <c r="AL42" s="39"/>
      <c r="AM42" s="39"/>
      <c r="AN42" s="39"/>
      <c r="AO42" s="39"/>
      <c r="AP42" s="39"/>
      <c r="AQ42" s="39"/>
      <c r="AR42" s="39"/>
      <c r="AS42" s="42"/>
      <c r="AT42" s="42"/>
      <c r="AU42" s="42"/>
      <c r="AV42" s="42"/>
      <c r="AW42" s="42"/>
      <c r="AX42" s="42"/>
      <c r="AY42" s="42"/>
      <c r="AZ42" s="42"/>
      <c r="BA42" s="42"/>
      <c r="BB42" s="42"/>
      <c r="BC42" s="42"/>
      <c r="BD42" s="42"/>
      <c r="BE42" s="42"/>
      <c r="BF42" s="42">
        <v>0.401371457419335</v>
      </c>
      <c r="BG42" s="42"/>
      <c r="BH42" s="42"/>
      <c r="BI42" s="42">
        <v>4.2404017512949997E-2</v>
      </c>
      <c r="BJ42" s="42">
        <v>0.234348467098175</v>
      </c>
      <c r="BK42" s="42">
        <v>0.24255653671682201</v>
      </c>
      <c r="BL42" s="42"/>
      <c r="BM42" s="42">
        <v>7.9319521252718003E-2</v>
      </c>
      <c r="BN42" s="42"/>
      <c r="BO42" s="42"/>
      <c r="BP42" s="42"/>
      <c r="BQ42" s="42"/>
      <c r="BR42" s="42"/>
      <c r="BS42" s="42"/>
      <c r="BT42" s="42"/>
      <c r="BU42" s="42"/>
      <c r="BV42" s="42"/>
      <c r="BW42" s="39"/>
      <c r="BX42" s="39"/>
      <c r="BY42" s="39"/>
      <c r="BZ42" s="39"/>
      <c r="CA42" s="39"/>
      <c r="CB42" s="27" t="s">
        <v>96</v>
      </c>
      <c r="CC42" s="27" t="s">
        <v>95</v>
      </c>
      <c r="CD42" s="27" t="s">
        <v>96</v>
      </c>
      <c r="CE42" s="27" t="s">
        <v>299</v>
      </c>
      <c r="CF42" s="27" t="s">
        <v>96</v>
      </c>
      <c r="CG42" s="27"/>
      <c r="CH42" s="27" t="s">
        <v>96</v>
      </c>
      <c r="CI42" s="27"/>
      <c r="CJ42" s="27" t="s">
        <v>1569</v>
      </c>
      <c r="CK42" s="27"/>
      <c r="CL42" s="27" t="s">
        <v>96</v>
      </c>
      <c r="CM42" s="27" t="s">
        <v>300</v>
      </c>
      <c r="CN42" s="27" t="s">
        <v>95</v>
      </c>
      <c r="CO42" s="27"/>
      <c r="CP42" s="27" t="s">
        <v>95</v>
      </c>
      <c r="CQ42" s="27"/>
      <c r="CR42" s="43"/>
      <c r="CS42" s="43"/>
      <c r="CT42" s="43"/>
      <c r="CU42" s="43"/>
      <c r="CV42" s="43"/>
      <c r="CW42" s="43"/>
      <c r="CX42" s="43"/>
      <c r="CY42" s="43"/>
      <c r="CZ42" s="43"/>
      <c r="DA42" s="43"/>
      <c r="DB42" s="43"/>
      <c r="DC42" s="43"/>
      <c r="DD42" s="43"/>
      <c r="DE42" s="43"/>
      <c r="DF42" s="43"/>
    </row>
    <row r="43" spans="1:110" ht="14">
      <c r="A43" s="27" t="s">
        <v>301</v>
      </c>
      <c r="B43" s="27" t="s">
        <v>1714</v>
      </c>
      <c r="C43" s="27" t="s">
        <v>302</v>
      </c>
      <c r="D43" s="27" t="s">
        <v>122</v>
      </c>
      <c r="E43" s="27" t="s">
        <v>122</v>
      </c>
      <c r="F43" s="39">
        <v>301226575540</v>
      </c>
      <c r="G43" s="39">
        <v>19502834</v>
      </c>
      <c r="H43" s="40">
        <v>2022</v>
      </c>
      <c r="I43" s="39">
        <v>8685825.9067357499</v>
      </c>
      <c r="J43" s="27" t="s">
        <v>102</v>
      </c>
      <c r="K43" s="41">
        <v>1.2201705304021631</v>
      </c>
      <c r="L43" s="39">
        <v>8685825.9067357481</v>
      </c>
      <c r="M43" s="39">
        <v>19502834</v>
      </c>
      <c r="N43" s="41">
        <v>1.2201705304021631</v>
      </c>
      <c r="O43" s="39">
        <v>9450048.9672428947</v>
      </c>
      <c r="P43" s="39">
        <v>20202719</v>
      </c>
      <c r="Q43" s="41">
        <v>1.2815376542006034</v>
      </c>
      <c r="R43" s="39">
        <v>10306455.367754521</v>
      </c>
      <c r="S43" s="39">
        <v>20539813</v>
      </c>
      <c r="T43" s="41">
        <v>1.3747381254758875</v>
      </c>
      <c r="U43" s="39">
        <v>10932699.521284368</v>
      </c>
      <c r="V43" s="39">
        <v>20344193</v>
      </c>
      <c r="W43" s="41">
        <v>1.4722924339233487</v>
      </c>
      <c r="X43" s="42">
        <v>0.57599999999999996</v>
      </c>
      <c r="Y43" s="42">
        <v>3.2000000000000001E-2</v>
      </c>
      <c r="Z43" s="42">
        <v>0.02</v>
      </c>
      <c r="AA43" s="42">
        <v>0.10299999999999999</v>
      </c>
      <c r="AB43" s="42">
        <v>0.108</v>
      </c>
      <c r="AC43" s="42"/>
      <c r="AD43" s="42"/>
      <c r="AE43" s="42"/>
      <c r="AF43" s="42"/>
      <c r="AG43" s="42"/>
      <c r="AH43" s="42"/>
      <c r="AI43" s="42"/>
      <c r="AJ43" s="42">
        <v>0.16200000000000001</v>
      </c>
      <c r="AK43" s="39"/>
      <c r="AL43" s="39">
        <v>892990</v>
      </c>
      <c r="AM43" s="39">
        <v>7455602</v>
      </c>
      <c r="AN43" s="39"/>
      <c r="AO43" s="39">
        <v>611609</v>
      </c>
      <c r="AP43" s="39">
        <v>9329276.9779599998</v>
      </c>
      <c r="AQ43" s="39">
        <v>530294013.33539999</v>
      </c>
      <c r="AR43" s="39"/>
      <c r="AS43" s="42">
        <v>0.77</v>
      </c>
      <c r="AT43" s="42">
        <v>0.23</v>
      </c>
      <c r="AU43" s="42"/>
      <c r="AV43" s="42">
        <v>0.76600000000000001</v>
      </c>
      <c r="AW43" s="42"/>
      <c r="AX43" s="42"/>
      <c r="AY43" s="42">
        <v>0.96499999999999997</v>
      </c>
      <c r="AZ43" s="42">
        <v>0.96</v>
      </c>
      <c r="BA43" s="42"/>
      <c r="BB43" s="42">
        <v>0.99099999999999999</v>
      </c>
      <c r="BC43" s="42"/>
      <c r="BD43" s="42">
        <v>1.43316951612668E-2</v>
      </c>
      <c r="BE43" s="42">
        <v>0.119336311389099</v>
      </c>
      <c r="BF43" s="42">
        <v>0.80007893219397896</v>
      </c>
      <c r="BG43" s="42"/>
      <c r="BH43" s="42"/>
      <c r="BI43" s="42">
        <v>1E-4</v>
      </c>
      <c r="BJ43" s="42">
        <v>7.3000000000000001E-3</v>
      </c>
      <c r="BK43" s="42"/>
      <c r="BL43" s="42"/>
      <c r="BM43" s="42"/>
      <c r="BN43" s="42">
        <v>1.88530612556554E-2</v>
      </c>
      <c r="BO43" s="42">
        <v>0.04</v>
      </c>
      <c r="BP43" s="42"/>
      <c r="BQ43" s="42"/>
      <c r="BR43" s="42"/>
      <c r="BS43" s="42"/>
      <c r="BT43" s="42"/>
      <c r="BU43" s="42"/>
      <c r="BV43" s="42"/>
      <c r="BW43" s="39">
        <v>23501.061089999999</v>
      </c>
      <c r="BX43" s="39"/>
      <c r="BY43" s="39">
        <v>60000</v>
      </c>
      <c r="BZ43" s="39"/>
      <c r="CA43" s="39"/>
      <c r="CB43" s="27" t="s">
        <v>96</v>
      </c>
      <c r="CC43" s="27" t="s">
        <v>95</v>
      </c>
      <c r="CD43" s="27" t="s">
        <v>96</v>
      </c>
      <c r="CE43" s="27" t="s">
        <v>303</v>
      </c>
      <c r="CF43" s="27" t="s">
        <v>96</v>
      </c>
      <c r="CG43" s="27" t="s">
        <v>96</v>
      </c>
      <c r="CH43" s="27"/>
      <c r="CI43" s="27" t="s">
        <v>304</v>
      </c>
      <c r="CJ43" s="27" t="s">
        <v>1602</v>
      </c>
      <c r="CK43" s="27"/>
      <c r="CL43" s="27" t="s">
        <v>96</v>
      </c>
      <c r="CM43" s="27" t="s">
        <v>305</v>
      </c>
      <c r="CN43" s="27" t="s">
        <v>96</v>
      </c>
      <c r="CO43" s="27"/>
      <c r="CP43" s="27"/>
      <c r="CQ43" s="27"/>
      <c r="CR43" s="43" t="s">
        <v>96</v>
      </c>
      <c r="CS43" s="43" t="s">
        <v>96</v>
      </c>
      <c r="CT43" s="43"/>
      <c r="CU43" s="43"/>
      <c r="CV43" s="43" t="s">
        <v>96</v>
      </c>
      <c r="CW43" s="43" t="s">
        <v>96</v>
      </c>
      <c r="CX43" s="43" t="s">
        <v>96</v>
      </c>
      <c r="CY43" s="43" t="s">
        <v>1723</v>
      </c>
      <c r="CZ43" s="43" t="s">
        <v>109</v>
      </c>
      <c r="DA43" s="43" t="s">
        <v>1470</v>
      </c>
      <c r="DB43" s="43"/>
      <c r="DC43" s="43"/>
      <c r="DD43" s="43"/>
      <c r="DE43" s="43"/>
      <c r="DF43" s="43"/>
    </row>
    <row r="44" spans="1:110" ht="14">
      <c r="A44" s="27" t="s">
        <v>306</v>
      </c>
      <c r="B44" s="47" t="s">
        <v>1712</v>
      </c>
      <c r="C44" s="27" t="s">
        <v>307</v>
      </c>
      <c r="D44" s="27" t="s">
        <v>1650</v>
      </c>
      <c r="E44" s="27" t="s">
        <v>1650</v>
      </c>
      <c r="F44" s="39">
        <v>18316765021690</v>
      </c>
      <c r="G44" s="39">
        <v>1426098192</v>
      </c>
      <c r="H44" s="40">
        <v>2022</v>
      </c>
      <c r="I44" s="39">
        <v>502607447.97259998</v>
      </c>
      <c r="J44" s="27" t="s">
        <v>308</v>
      </c>
      <c r="K44" s="41">
        <v>0.96557636388493961</v>
      </c>
      <c r="L44" s="39">
        <v>502607447.97259998</v>
      </c>
      <c r="M44" s="39">
        <v>1426098192</v>
      </c>
      <c r="N44" s="41">
        <v>0.96557636388493961</v>
      </c>
      <c r="O44" s="39">
        <v>579314130.08224726</v>
      </c>
      <c r="P44" s="39">
        <v>1400281205</v>
      </c>
      <c r="Q44" s="41">
        <v>1.1334594755382259</v>
      </c>
      <c r="R44" s="39">
        <v>621774238.66959858</v>
      </c>
      <c r="S44" s="39">
        <v>1346163630</v>
      </c>
      <c r="T44" s="41">
        <v>1.2654413080883899</v>
      </c>
      <c r="U44" s="39">
        <v>630002818.02322149</v>
      </c>
      <c r="V44" s="39">
        <v>1265452312</v>
      </c>
      <c r="W44" s="41">
        <v>1.3639669401242831</v>
      </c>
      <c r="X44" s="42">
        <v>0.59299999999999997</v>
      </c>
      <c r="Y44" s="42">
        <v>3.2000000000000001E-2</v>
      </c>
      <c r="Z44" s="42">
        <v>7.0000000000000001E-3</v>
      </c>
      <c r="AA44" s="42">
        <v>9.0999999999999998E-2</v>
      </c>
      <c r="AB44" s="42">
        <v>0.121</v>
      </c>
      <c r="AC44" s="42"/>
      <c r="AD44" s="42">
        <v>2.1000000000000001E-2</v>
      </c>
      <c r="AE44" s="42"/>
      <c r="AF44" s="42">
        <v>3.2000000000000001E-2</v>
      </c>
      <c r="AG44" s="42"/>
      <c r="AH44" s="42"/>
      <c r="AI44" s="42"/>
      <c r="AJ44" s="42">
        <v>0.10299999999999999</v>
      </c>
      <c r="AK44" s="39"/>
      <c r="AL44" s="39">
        <v>4536592600</v>
      </c>
      <c r="AM44" s="39">
        <v>3451000000</v>
      </c>
      <c r="AN44" s="39">
        <v>12066000</v>
      </c>
      <c r="AO44" s="39">
        <v>95148000</v>
      </c>
      <c r="AP44" s="39">
        <v>2429213876</v>
      </c>
      <c r="AQ44" s="39">
        <v>1684496124.0310099</v>
      </c>
      <c r="AR44" s="39">
        <v>1400000</v>
      </c>
      <c r="AS44" s="42"/>
      <c r="AT44" s="42"/>
      <c r="AU44" s="42"/>
      <c r="AV44" s="42"/>
      <c r="AW44" s="49"/>
      <c r="AX44" s="49"/>
      <c r="AY44" s="49"/>
      <c r="AZ44" s="49"/>
      <c r="BA44" s="42"/>
      <c r="BB44" s="42"/>
      <c r="BC44" s="42">
        <v>0.997</v>
      </c>
      <c r="BD44" s="42"/>
      <c r="BE44" s="42"/>
      <c r="BF44" s="42">
        <v>0.18459999999999999</v>
      </c>
      <c r="BG44" s="42"/>
      <c r="BH44" s="42"/>
      <c r="BI44" s="42"/>
      <c r="BJ44" s="42"/>
      <c r="BK44" s="42">
        <v>0.748</v>
      </c>
      <c r="BL44" s="42"/>
      <c r="BM44" s="42"/>
      <c r="BN44" s="42">
        <v>6.7100000000000007E-2</v>
      </c>
      <c r="BO44" s="42">
        <v>3.0000000000000001E-3</v>
      </c>
      <c r="BP44" s="42"/>
      <c r="BQ44" s="42"/>
      <c r="BR44" s="42"/>
      <c r="BS44" s="42"/>
      <c r="BT44" s="42"/>
      <c r="BU44" s="42"/>
      <c r="BV44" s="42"/>
      <c r="BW44" s="39"/>
      <c r="BX44" s="39"/>
      <c r="BY44" s="39"/>
      <c r="BZ44" s="39"/>
      <c r="CA44" s="39"/>
      <c r="CB44" s="27" t="s">
        <v>96</v>
      </c>
      <c r="CC44" s="27" t="s">
        <v>96</v>
      </c>
      <c r="CD44" s="27" t="s">
        <v>96</v>
      </c>
      <c r="CE44" s="27" t="s">
        <v>309</v>
      </c>
      <c r="CF44" s="27" t="s">
        <v>96</v>
      </c>
      <c r="CG44" s="27" t="s">
        <v>96</v>
      </c>
      <c r="CH44" s="27" t="s">
        <v>96</v>
      </c>
      <c r="CI44" s="27" t="s">
        <v>310</v>
      </c>
      <c r="CJ44" s="27" t="s">
        <v>311</v>
      </c>
      <c r="CK44" s="27"/>
      <c r="CL44" s="27" t="s">
        <v>96</v>
      </c>
      <c r="CM44" s="43" t="s">
        <v>312</v>
      </c>
      <c r="CN44" s="27" t="s">
        <v>96</v>
      </c>
      <c r="CO44" s="27" t="s">
        <v>313</v>
      </c>
      <c r="CP44" s="27" t="s">
        <v>96</v>
      </c>
      <c r="CQ44" s="43" t="s">
        <v>312</v>
      </c>
      <c r="CR44" s="43" t="s">
        <v>96</v>
      </c>
      <c r="CS44" s="43" t="s">
        <v>96</v>
      </c>
      <c r="CT44" s="43"/>
      <c r="CU44" s="43"/>
      <c r="CV44" s="43" t="s">
        <v>96</v>
      </c>
      <c r="CW44" s="43" t="s">
        <v>96</v>
      </c>
      <c r="CX44" s="43"/>
      <c r="CY44" s="43" t="s">
        <v>106</v>
      </c>
      <c r="CZ44" s="43" t="s">
        <v>148</v>
      </c>
      <c r="DA44" s="43" t="s">
        <v>197</v>
      </c>
      <c r="DB44" s="43"/>
      <c r="DC44" s="43"/>
      <c r="DD44" s="43"/>
      <c r="DE44" s="43"/>
      <c r="DF44" s="43"/>
    </row>
    <row r="45" spans="1:110" ht="14">
      <c r="A45" s="27" t="s">
        <v>314</v>
      </c>
      <c r="B45" s="27" t="s">
        <v>1714</v>
      </c>
      <c r="C45" s="27" t="s">
        <v>315</v>
      </c>
      <c r="D45" s="27" t="s">
        <v>1650</v>
      </c>
      <c r="E45" s="27" t="s">
        <v>1650</v>
      </c>
      <c r="F45" s="39">
        <v>345632492851</v>
      </c>
      <c r="G45" s="39">
        <v>51443283</v>
      </c>
      <c r="H45" s="40">
        <v>2022</v>
      </c>
      <c r="I45" s="39">
        <v>14423329.699999999</v>
      </c>
      <c r="J45" s="27" t="s">
        <v>102</v>
      </c>
      <c r="K45" s="41">
        <v>0.76814638328626716</v>
      </c>
      <c r="L45" s="39">
        <v>14423329.699999997</v>
      </c>
      <c r="M45" s="39">
        <v>51443283</v>
      </c>
      <c r="N45" s="41">
        <v>0.76814638328626716</v>
      </c>
      <c r="O45" s="39">
        <v>17172105.75449108</v>
      </c>
      <c r="P45" s="39">
        <v>55535344</v>
      </c>
      <c r="Q45" s="41">
        <v>0.84715177204623926</v>
      </c>
      <c r="R45" s="39">
        <v>20804469.310868707</v>
      </c>
      <c r="S45" s="39">
        <v>58491447</v>
      </c>
      <c r="T45" s="41">
        <v>0.97447659411083709</v>
      </c>
      <c r="U45" s="39">
        <v>23842622.140010502</v>
      </c>
      <c r="V45" s="39">
        <v>59383512</v>
      </c>
      <c r="W45" s="41">
        <v>1.1000065546541764</v>
      </c>
      <c r="X45" s="42">
        <v>0.61539999999999995</v>
      </c>
      <c r="Y45" s="42">
        <v>2.3900000000000001E-2</v>
      </c>
      <c r="Z45" s="42">
        <v>1.04E-2</v>
      </c>
      <c r="AA45" s="42">
        <v>6.5500000000000003E-2</v>
      </c>
      <c r="AB45" s="42">
        <v>0.10780000000000001</v>
      </c>
      <c r="AC45" s="42"/>
      <c r="AD45" s="42"/>
      <c r="AE45" s="42"/>
      <c r="AF45" s="42">
        <v>2.7400000000000001E-2</v>
      </c>
      <c r="AG45" s="42"/>
      <c r="AH45" s="42"/>
      <c r="AI45" s="42"/>
      <c r="AJ45" s="42">
        <v>0.14960000000000001</v>
      </c>
      <c r="AK45" s="39">
        <v>4081</v>
      </c>
      <c r="AL45" s="39"/>
      <c r="AM45" s="39">
        <v>25000000</v>
      </c>
      <c r="AN45" s="39">
        <v>388000</v>
      </c>
      <c r="AO45" s="39">
        <v>604774.69999999995</v>
      </c>
      <c r="AP45" s="39"/>
      <c r="AQ45" s="39"/>
      <c r="AR45" s="39"/>
      <c r="AS45" s="42"/>
      <c r="AT45" s="42"/>
      <c r="AU45" s="42">
        <v>0.32</v>
      </c>
      <c r="AV45" s="42"/>
      <c r="AW45" s="42"/>
      <c r="AX45" s="42">
        <v>0.83399999999999996</v>
      </c>
      <c r="AY45" s="42">
        <v>0.80600000000000005</v>
      </c>
      <c r="AZ45" s="42">
        <v>0.82520000000000004</v>
      </c>
      <c r="BA45" s="42">
        <v>0.98299999999999998</v>
      </c>
      <c r="BB45" s="42"/>
      <c r="BC45" s="42"/>
      <c r="BD45" s="42">
        <v>1.35815041543479E-2</v>
      </c>
      <c r="BE45" s="42">
        <v>9.4931942303350392E-3</v>
      </c>
      <c r="BF45" s="42">
        <v>0.66985918704123204</v>
      </c>
      <c r="BG45" s="42">
        <v>0</v>
      </c>
      <c r="BH45" s="42"/>
      <c r="BI45" s="42"/>
      <c r="BJ45" s="42">
        <v>0.16914402227108499</v>
      </c>
      <c r="BK45" s="42"/>
      <c r="BL45" s="42"/>
      <c r="BM45" s="42"/>
      <c r="BN45" s="42"/>
      <c r="BO45" s="42">
        <v>0.13792209230300001</v>
      </c>
      <c r="BP45" s="42"/>
      <c r="BQ45" s="42"/>
      <c r="BR45" s="42"/>
      <c r="BS45" s="42"/>
      <c r="BT45" s="42"/>
      <c r="BU45" s="42"/>
      <c r="BV45" s="42"/>
      <c r="BW45" s="39"/>
      <c r="BX45" s="39"/>
      <c r="BY45" s="39">
        <v>68100</v>
      </c>
      <c r="BZ45" s="39"/>
      <c r="CA45" s="39"/>
      <c r="CB45" s="27" t="s">
        <v>96</v>
      </c>
      <c r="CC45" s="27"/>
      <c r="CD45" s="27" t="s">
        <v>96</v>
      </c>
      <c r="CE45" s="27" t="s">
        <v>316</v>
      </c>
      <c r="CF45" s="27" t="s">
        <v>96</v>
      </c>
      <c r="CG45" s="27" t="s">
        <v>96</v>
      </c>
      <c r="CH45" s="27" t="s">
        <v>96</v>
      </c>
      <c r="CI45" s="27" t="s">
        <v>317</v>
      </c>
      <c r="CJ45" s="27" t="s">
        <v>1603</v>
      </c>
      <c r="CK45" s="27"/>
      <c r="CL45" s="27" t="s">
        <v>96</v>
      </c>
      <c r="CM45" s="27" t="s">
        <v>318</v>
      </c>
      <c r="CN45" s="27" t="s">
        <v>96</v>
      </c>
      <c r="CO45" s="27" t="s">
        <v>319</v>
      </c>
      <c r="CP45" s="27"/>
      <c r="CQ45" s="27"/>
      <c r="CR45" s="43" t="s">
        <v>96</v>
      </c>
      <c r="CS45" s="43" t="s">
        <v>96</v>
      </c>
      <c r="CT45" s="43"/>
      <c r="CU45" s="43"/>
      <c r="CV45" s="43" t="s">
        <v>96</v>
      </c>
      <c r="CW45" s="43" t="s">
        <v>96</v>
      </c>
      <c r="CX45" s="43" t="s">
        <v>96</v>
      </c>
      <c r="CY45" s="43" t="s">
        <v>1723</v>
      </c>
      <c r="CZ45" s="43" t="s">
        <v>109</v>
      </c>
      <c r="DA45" s="43" t="s">
        <v>1470</v>
      </c>
      <c r="DB45" s="43"/>
      <c r="DC45" s="43"/>
      <c r="DD45" s="43"/>
      <c r="DE45" s="43"/>
      <c r="DF45" s="43"/>
    </row>
    <row r="46" spans="1:110" ht="14">
      <c r="A46" s="27" t="s">
        <v>320</v>
      </c>
      <c r="B46" s="33" t="s">
        <v>1693</v>
      </c>
      <c r="C46" s="27" t="s">
        <v>321</v>
      </c>
      <c r="D46" s="27" t="s">
        <v>1651</v>
      </c>
      <c r="E46" s="27" t="s">
        <v>1651</v>
      </c>
      <c r="F46" s="39">
        <v>1430523436</v>
      </c>
      <c r="G46" s="39">
        <v>842267</v>
      </c>
      <c r="H46" s="40">
        <v>2023</v>
      </c>
      <c r="I46" s="39">
        <v>110704.5</v>
      </c>
      <c r="J46" s="27" t="s">
        <v>94</v>
      </c>
      <c r="K46" s="41">
        <v>0.36009958837280809</v>
      </c>
      <c r="L46" s="39">
        <v>107778.90027839837</v>
      </c>
      <c r="M46" s="39">
        <v>826109</v>
      </c>
      <c r="N46" s="41">
        <v>0.35744031150487632</v>
      </c>
      <c r="O46" s="39">
        <v>142123.24723822094</v>
      </c>
      <c r="P46" s="39">
        <v>956026</v>
      </c>
      <c r="Q46" s="41">
        <v>0.40728888080111808</v>
      </c>
      <c r="R46" s="39">
        <v>172275.44548454689</v>
      </c>
      <c r="S46" s="39">
        <v>1125099</v>
      </c>
      <c r="T46" s="41">
        <v>0.41950754722515166</v>
      </c>
      <c r="U46" s="39">
        <v>204864.9449593843</v>
      </c>
      <c r="V46" s="39">
        <v>1298966</v>
      </c>
      <c r="W46" s="41">
        <v>0.43209277364190624</v>
      </c>
      <c r="X46" s="42">
        <v>0.5</v>
      </c>
      <c r="Y46" s="42">
        <v>0.02</v>
      </c>
      <c r="Z46" s="42">
        <v>0.04</v>
      </c>
      <c r="AA46" s="42">
        <v>7.0000000000000007E-2</v>
      </c>
      <c r="AB46" s="42">
        <v>0.05</v>
      </c>
      <c r="AC46" s="42"/>
      <c r="AD46" s="42">
        <v>0.1</v>
      </c>
      <c r="AE46" s="42"/>
      <c r="AF46" s="42">
        <v>0.03</v>
      </c>
      <c r="AG46" s="42"/>
      <c r="AH46" s="42"/>
      <c r="AI46" s="42"/>
      <c r="AJ46" s="42">
        <v>0.19</v>
      </c>
      <c r="AK46" s="39"/>
      <c r="AL46" s="39"/>
      <c r="AM46" s="39"/>
      <c r="AN46" s="39">
        <v>1000</v>
      </c>
      <c r="AO46" s="39"/>
      <c r="AP46" s="27"/>
      <c r="AQ46" s="39"/>
      <c r="AR46" s="39"/>
      <c r="AS46" s="42"/>
      <c r="AT46" s="42"/>
      <c r="AU46" s="42">
        <v>0.17</v>
      </c>
      <c r="AV46" s="42"/>
      <c r="AW46" s="42"/>
      <c r="AX46" s="42">
        <v>0.38300000000000001</v>
      </c>
      <c r="AY46" s="42"/>
      <c r="AZ46" s="42"/>
      <c r="BA46" s="42">
        <v>0.45900000000000002</v>
      </c>
      <c r="BB46" s="42"/>
      <c r="BC46" s="42"/>
      <c r="BD46" s="42"/>
      <c r="BE46" s="42"/>
      <c r="BF46" s="42"/>
      <c r="BG46" s="42"/>
      <c r="BH46" s="42"/>
      <c r="BI46" s="42"/>
      <c r="BJ46" s="42"/>
      <c r="BK46" s="42"/>
      <c r="BL46" s="42"/>
      <c r="BM46" s="42"/>
      <c r="BN46" s="42"/>
      <c r="BO46" s="42"/>
      <c r="BP46" s="42"/>
      <c r="BQ46" s="42">
        <v>0.44747612551159599</v>
      </c>
      <c r="BR46" s="42">
        <v>0.17053206002728499</v>
      </c>
      <c r="BS46" s="42">
        <v>9.4133697135061395E-2</v>
      </c>
      <c r="BT46" s="42">
        <v>0.152796725784447</v>
      </c>
      <c r="BU46" s="42"/>
      <c r="BV46" s="42">
        <v>0.13915416098226499</v>
      </c>
      <c r="BW46" s="39"/>
      <c r="BX46" s="39"/>
      <c r="BY46" s="39"/>
      <c r="BZ46" s="39"/>
      <c r="CA46" s="39"/>
      <c r="CB46" s="27" t="s">
        <v>95</v>
      </c>
      <c r="CC46" s="27" t="s">
        <v>95</v>
      </c>
      <c r="CD46" s="27" t="s">
        <v>95</v>
      </c>
      <c r="CE46" s="27"/>
      <c r="CF46" s="27"/>
      <c r="CG46" s="27" t="s">
        <v>95</v>
      </c>
      <c r="CH46" s="27" t="s">
        <v>95</v>
      </c>
      <c r="CI46" s="27" t="s">
        <v>95</v>
      </c>
      <c r="CJ46" s="27" t="s">
        <v>123</v>
      </c>
      <c r="CK46" s="27" t="s">
        <v>95</v>
      </c>
      <c r="CL46" s="27" t="s">
        <v>95</v>
      </c>
      <c r="CM46" s="27"/>
      <c r="CN46" s="27" t="s">
        <v>95</v>
      </c>
      <c r="CO46" s="27"/>
      <c r="CP46" s="27" t="s">
        <v>95</v>
      </c>
      <c r="CQ46" s="27"/>
      <c r="CR46" s="43"/>
      <c r="CS46" s="43"/>
      <c r="CT46" s="43"/>
      <c r="CU46" s="43"/>
      <c r="CV46" s="43"/>
      <c r="CW46" s="43"/>
      <c r="CX46" s="43"/>
      <c r="CY46" s="43"/>
      <c r="CZ46" s="43"/>
      <c r="DA46" s="43"/>
      <c r="DB46" s="43"/>
      <c r="DC46" s="43"/>
      <c r="DD46" s="43"/>
      <c r="DE46" s="43"/>
      <c r="DF46" s="43"/>
    </row>
    <row r="47" spans="1:110" ht="14">
      <c r="A47" s="27" t="s">
        <v>322</v>
      </c>
      <c r="B47" s="33" t="s">
        <v>1693</v>
      </c>
      <c r="C47" s="27" t="s">
        <v>323</v>
      </c>
      <c r="D47" s="27" t="s">
        <v>93</v>
      </c>
      <c r="E47" s="27" t="s">
        <v>93</v>
      </c>
      <c r="F47" s="39">
        <v>29306235285.259998</v>
      </c>
      <c r="G47" s="39">
        <v>72025062</v>
      </c>
      <c r="H47" s="40">
        <v>2012</v>
      </c>
      <c r="I47" s="39">
        <v>13144573.814999999</v>
      </c>
      <c r="J47" s="27" t="s">
        <v>94</v>
      </c>
      <c r="K47" s="41">
        <v>0.5</v>
      </c>
      <c r="L47" s="39">
        <v>22832036.819424171</v>
      </c>
      <c r="M47" s="39">
        <v>100730624</v>
      </c>
      <c r="N47" s="41">
        <v>0.62099809421084262</v>
      </c>
      <c r="O47" s="39">
        <v>35846243.424422584</v>
      </c>
      <c r="P47" s="39">
        <v>129588918</v>
      </c>
      <c r="Q47" s="41">
        <v>0.75784941806758854</v>
      </c>
      <c r="R47" s="39">
        <v>48559141.557412498</v>
      </c>
      <c r="S47" s="39">
        <v>170434688</v>
      </c>
      <c r="T47" s="41">
        <v>0.78058490060961627</v>
      </c>
      <c r="U47" s="39">
        <v>63347408.69461263</v>
      </c>
      <c r="V47" s="39">
        <v>215863204</v>
      </c>
      <c r="W47" s="41">
        <v>0.80400244762790474</v>
      </c>
      <c r="X47" s="42"/>
      <c r="Y47" s="42"/>
      <c r="Z47" s="42"/>
      <c r="AA47" s="42"/>
      <c r="AB47" s="42"/>
      <c r="AC47" s="42"/>
      <c r="AD47" s="42"/>
      <c r="AE47" s="42"/>
      <c r="AF47" s="42"/>
      <c r="AG47" s="42"/>
      <c r="AH47" s="42"/>
      <c r="AI47" s="42"/>
      <c r="AJ47" s="42"/>
      <c r="AK47" s="39"/>
      <c r="AL47" s="39"/>
      <c r="AM47" s="39"/>
      <c r="AN47" s="39">
        <v>56000</v>
      </c>
      <c r="AO47" s="39"/>
      <c r="AP47" s="27"/>
      <c r="AQ47" s="39"/>
      <c r="AR47" s="39"/>
      <c r="AS47" s="42"/>
      <c r="AT47" s="42"/>
      <c r="AU47" s="42">
        <v>1E-3</v>
      </c>
      <c r="AV47" s="42"/>
      <c r="AW47" s="42"/>
      <c r="AX47" s="42"/>
      <c r="AY47" s="42"/>
      <c r="AZ47" s="42"/>
      <c r="BA47" s="42">
        <v>0.08</v>
      </c>
      <c r="BB47" s="42"/>
      <c r="BC47" s="42">
        <v>0.25</v>
      </c>
      <c r="BD47" s="42"/>
      <c r="BE47" s="42"/>
      <c r="BF47" s="42"/>
      <c r="BG47" s="42">
        <v>0.19700000000000001</v>
      </c>
      <c r="BH47" s="42"/>
      <c r="BI47" s="42"/>
      <c r="BJ47" s="42">
        <v>4.9000000000000002E-2</v>
      </c>
      <c r="BK47" s="42"/>
      <c r="BL47" s="42"/>
      <c r="BM47" s="42"/>
      <c r="BN47" s="42"/>
      <c r="BO47" s="42"/>
      <c r="BP47" s="42">
        <v>0.754</v>
      </c>
      <c r="BQ47" s="42">
        <v>0.72272143774069297</v>
      </c>
      <c r="BR47" s="42">
        <v>9.2426187419768893E-2</v>
      </c>
      <c r="BS47" s="42"/>
      <c r="BT47" s="42">
        <v>1.7971758664955099E-2</v>
      </c>
      <c r="BU47" s="42">
        <v>0.14249037227214401</v>
      </c>
      <c r="BV47" s="42">
        <v>2.4390243902439001E-2</v>
      </c>
      <c r="BW47" s="39"/>
      <c r="BX47" s="39"/>
      <c r="BY47" s="39"/>
      <c r="BZ47" s="39"/>
      <c r="CA47" s="39"/>
      <c r="CB47" s="27" t="s">
        <v>95</v>
      </c>
      <c r="CC47" s="27" t="s">
        <v>95</v>
      </c>
      <c r="CD47" s="27" t="s">
        <v>96</v>
      </c>
      <c r="CE47" s="27" t="s">
        <v>324</v>
      </c>
      <c r="CF47" s="27" t="s">
        <v>96</v>
      </c>
      <c r="CG47" s="27" t="s">
        <v>96</v>
      </c>
      <c r="CH47" s="27" t="s">
        <v>95</v>
      </c>
      <c r="CI47" s="27" t="s">
        <v>95</v>
      </c>
      <c r="CJ47" s="27" t="s">
        <v>1633</v>
      </c>
      <c r="CK47" s="27" t="s">
        <v>95</v>
      </c>
      <c r="CL47" s="27" t="s">
        <v>96</v>
      </c>
      <c r="CM47" s="27" t="s">
        <v>325</v>
      </c>
      <c r="CN47" s="27"/>
      <c r="CO47" s="27"/>
      <c r="CP47" s="27"/>
      <c r="CQ47" s="27"/>
      <c r="CR47" s="43"/>
      <c r="CS47" s="43"/>
      <c r="CT47" s="43"/>
      <c r="CU47" s="43"/>
      <c r="CV47" s="43"/>
      <c r="CW47" s="43"/>
      <c r="CX47" s="43"/>
      <c r="CY47" s="43"/>
      <c r="CZ47" s="43"/>
      <c r="DA47" s="43"/>
      <c r="DB47" s="43"/>
      <c r="DC47" s="43"/>
      <c r="DD47" s="43"/>
      <c r="DE47" s="43"/>
      <c r="DF47" s="43"/>
    </row>
    <row r="48" spans="1:110" ht="14">
      <c r="A48" s="27" t="s">
        <v>326</v>
      </c>
      <c r="B48" s="33" t="s">
        <v>1693</v>
      </c>
      <c r="C48" s="27" t="s">
        <v>327</v>
      </c>
      <c r="D48" s="27" t="s">
        <v>1651</v>
      </c>
      <c r="E48" s="27" t="s">
        <v>1651</v>
      </c>
      <c r="F48" s="39">
        <v>17692911296.299999</v>
      </c>
      <c r="G48" s="39">
        <v>4682546</v>
      </c>
      <c r="H48" s="40">
        <v>2012</v>
      </c>
      <c r="I48" s="39">
        <v>888747.2307999999</v>
      </c>
      <c r="J48" s="27" t="s">
        <v>94</v>
      </c>
      <c r="K48" s="41">
        <v>0.51999999999999991</v>
      </c>
      <c r="L48" s="39">
        <v>853424.19870903494</v>
      </c>
      <c r="M48" s="39">
        <v>5962066</v>
      </c>
      <c r="N48" s="41">
        <v>0.3921708497715044</v>
      </c>
      <c r="O48" s="39">
        <v>1105317.858735803</v>
      </c>
      <c r="P48" s="39">
        <v>7198578</v>
      </c>
      <c r="Q48" s="41">
        <v>0.42067587600293943</v>
      </c>
      <c r="R48" s="39">
        <v>1606141.2294863728</v>
      </c>
      <c r="S48" s="39">
        <v>8989762</v>
      </c>
      <c r="T48" s="41">
        <v>0.48948870171420017</v>
      </c>
      <c r="U48" s="39">
        <v>2329403.7190368236</v>
      </c>
      <c r="V48" s="39">
        <v>10909683</v>
      </c>
      <c r="W48" s="41">
        <v>0.58497831672663281</v>
      </c>
      <c r="X48" s="42"/>
      <c r="Y48" s="42"/>
      <c r="Z48" s="42"/>
      <c r="AA48" s="42"/>
      <c r="AB48" s="42"/>
      <c r="AC48" s="42"/>
      <c r="AD48" s="42"/>
      <c r="AE48" s="42"/>
      <c r="AF48" s="42"/>
      <c r="AG48" s="42"/>
      <c r="AH48" s="42"/>
      <c r="AI48" s="42"/>
      <c r="AJ48" s="42"/>
      <c r="AK48" s="39"/>
      <c r="AL48" s="39"/>
      <c r="AM48" s="39"/>
      <c r="AN48" s="39">
        <v>16000</v>
      </c>
      <c r="AO48" s="39"/>
      <c r="AP48" s="39"/>
      <c r="AQ48" s="39"/>
      <c r="AR48" s="39"/>
      <c r="AS48" s="42"/>
      <c r="AT48" s="42"/>
      <c r="AU48" s="42"/>
      <c r="AV48" s="42"/>
      <c r="AW48" s="42"/>
      <c r="AX48" s="42"/>
      <c r="AY48" s="42"/>
      <c r="AZ48" s="42">
        <v>0.43106796116504897</v>
      </c>
      <c r="BA48" s="42"/>
      <c r="BB48" s="42"/>
      <c r="BC48" s="42"/>
      <c r="BD48" s="42"/>
      <c r="BE48" s="42"/>
      <c r="BF48" s="42"/>
      <c r="BG48" s="42"/>
      <c r="BH48" s="42"/>
      <c r="BI48" s="42"/>
      <c r="BJ48" s="42">
        <v>0.26200000000000001</v>
      </c>
      <c r="BK48" s="42"/>
      <c r="BL48" s="42"/>
      <c r="BM48" s="42"/>
      <c r="BN48" s="42"/>
      <c r="BO48" s="42">
        <v>0.56893203883495103</v>
      </c>
      <c r="BP48" s="42">
        <v>0.1691</v>
      </c>
      <c r="BQ48" s="42"/>
      <c r="BR48" s="42"/>
      <c r="BS48" s="42"/>
      <c r="BT48" s="42"/>
      <c r="BU48" s="42"/>
      <c r="BV48" s="42"/>
      <c r="BW48" s="39"/>
      <c r="BX48" s="39"/>
      <c r="BY48" s="39"/>
      <c r="BZ48" s="39"/>
      <c r="CA48" s="39"/>
      <c r="CB48" s="27" t="s">
        <v>95</v>
      </c>
      <c r="CC48" s="27" t="s">
        <v>95</v>
      </c>
      <c r="CD48" s="27" t="s">
        <v>96</v>
      </c>
      <c r="CE48" s="27" t="s">
        <v>328</v>
      </c>
      <c r="CF48" s="27"/>
      <c r="CG48" s="27" t="s">
        <v>95</v>
      </c>
      <c r="CH48" s="27"/>
      <c r="CI48" s="27"/>
      <c r="CJ48" s="27" t="s">
        <v>1634</v>
      </c>
      <c r="CK48" s="27"/>
      <c r="CL48" s="27" t="s">
        <v>96</v>
      </c>
      <c r="CM48" s="27" t="s">
        <v>329</v>
      </c>
      <c r="CN48" s="27"/>
      <c r="CO48" s="27"/>
      <c r="CP48" s="27"/>
      <c r="CQ48" s="27"/>
      <c r="CR48" s="43"/>
      <c r="CS48" s="43"/>
      <c r="CT48" s="43"/>
      <c r="CU48" s="43"/>
      <c r="CV48" s="43"/>
      <c r="CW48" s="43"/>
      <c r="CX48" s="43"/>
      <c r="CY48" s="43"/>
      <c r="CZ48" s="43"/>
      <c r="DA48" s="43"/>
      <c r="DB48" s="43"/>
      <c r="DC48" s="43"/>
      <c r="DD48" s="43"/>
      <c r="DE48" s="43"/>
      <c r="DF48" s="43"/>
    </row>
    <row r="49" spans="1:110" ht="14">
      <c r="A49" s="27" t="s">
        <v>330</v>
      </c>
      <c r="B49" s="27" t="s">
        <v>1714</v>
      </c>
      <c r="C49" s="27" t="s">
        <v>331</v>
      </c>
      <c r="D49" s="27" t="s">
        <v>1650</v>
      </c>
      <c r="E49" s="27" t="s">
        <v>1650</v>
      </c>
      <c r="F49" s="39">
        <v>64960725734.199997</v>
      </c>
      <c r="G49" s="39">
        <v>5049422</v>
      </c>
      <c r="H49" s="40">
        <v>2021</v>
      </c>
      <c r="I49" s="39">
        <v>1615689.05817292</v>
      </c>
      <c r="J49" s="27" t="s">
        <v>94</v>
      </c>
      <c r="K49" s="41">
        <v>0.87664397328195476</v>
      </c>
      <c r="L49" s="39">
        <v>1653777.5564943259</v>
      </c>
      <c r="M49" s="39">
        <v>5070553</v>
      </c>
      <c r="N49" s="41">
        <v>0.89357066478803149</v>
      </c>
      <c r="O49" s="39">
        <v>1900125.6104610546</v>
      </c>
      <c r="P49" s="39">
        <v>5242941</v>
      </c>
      <c r="Q49" s="41">
        <v>0.99292049830510387</v>
      </c>
      <c r="R49" s="39">
        <v>2168185.6487949542</v>
      </c>
      <c r="S49" s="39">
        <v>5366934</v>
      </c>
      <c r="T49" s="41">
        <v>1.1068208877233725</v>
      </c>
      <c r="U49" s="39">
        <v>2348975.1537325052</v>
      </c>
      <c r="V49" s="39">
        <v>5358806</v>
      </c>
      <c r="W49" s="41">
        <v>1.2009295291507893</v>
      </c>
      <c r="X49" s="42">
        <v>0.52</v>
      </c>
      <c r="Y49" s="42">
        <v>0.02</v>
      </c>
      <c r="Z49" s="42">
        <v>0.01</v>
      </c>
      <c r="AA49" s="42">
        <v>0.13</v>
      </c>
      <c r="AB49" s="42">
        <v>0.13</v>
      </c>
      <c r="AC49" s="42"/>
      <c r="AD49" s="42"/>
      <c r="AE49" s="42"/>
      <c r="AF49" s="42">
        <v>0.03</v>
      </c>
      <c r="AG49" s="42">
        <v>0.01</v>
      </c>
      <c r="AH49" s="42">
        <v>0.02</v>
      </c>
      <c r="AI49" s="42"/>
      <c r="AJ49" s="42">
        <v>0.14000000000000001</v>
      </c>
      <c r="AK49" s="39">
        <v>156000</v>
      </c>
      <c r="AL49" s="39"/>
      <c r="AM49" s="39">
        <v>657000</v>
      </c>
      <c r="AN49" s="39">
        <v>69671</v>
      </c>
      <c r="AO49" s="39">
        <v>22292</v>
      </c>
      <c r="AP49" s="39"/>
      <c r="AQ49" s="39"/>
      <c r="AR49" s="39"/>
      <c r="AS49" s="42"/>
      <c r="AT49" s="42"/>
      <c r="AU49" s="42"/>
      <c r="AV49" s="42"/>
      <c r="AW49" s="42"/>
      <c r="AX49" s="42">
        <v>0.91539999999999999</v>
      </c>
      <c r="AY49" s="42">
        <v>0.90400000000000003</v>
      </c>
      <c r="AZ49" s="42">
        <v>0.88849999999999996</v>
      </c>
      <c r="BA49" s="42"/>
      <c r="BB49" s="42"/>
      <c r="BC49" s="42"/>
      <c r="BD49" s="42"/>
      <c r="BE49" s="42"/>
      <c r="BF49" s="42"/>
      <c r="BG49" s="42">
        <v>0.79211050994944199</v>
      </c>
      <c r="BH49" s="42"/>
      <c r="BI49" s="42">
        <v>2.7033739812533899E-2</v>
      </c>
      <c r="BJ49" s="42">
        <v>3.9490699293743201E-2</v>
      </c>
      <c r="BK49" s="42"/>
      <c r="BL49" s="42"/>
      <c r="BM49" s="42">
        <v>2.9816506676107302E-2</v>
      </c>
      <c r="BN49" s="42"/>
      <c r="BO49" s="42">
        <v>0.111548544268174</v>
      </c>
      <c r="BP49" s="42"/>
      <c r="BQ49" s="42">
        <v>1.1820330969267099E-2</v>
      </c>
      <c r="BR49" s="42">
        <v>0.74822695035461095</v>
      </c>
      <c r="BS49" s="42">
        <v>0.22340425531914901</v>
      </c>
      <c r="BT49" s="42">
        <v>3.54609929078014E-3</v>
      </c>
      <c r="BU49" s="42"/>
      <c r="BV49" s="42"/>
      <c r="BW49" s="39"/>
      <c r="BX49" s="39"/>
      <c r="BY49" s="39"/>
      <c r="BZ49" s="39"/>
      <c r="CA49" s="39"/>
      <c r="CB49" s="27" t="s">
        <v>96</v>
      </c>
      <c r="CC49" s="27"/>
      <c r="CD49" s="27" t="s">
        <v>96</v>
      </c>
      <c r="CE49" s="27" t="s">
        <v>332</v>
      </c>
      <c r="CF49" s="27" t="s">
        <v>96</v>
      </c>
      <c r="CG49" s="27"/>
      <c r="CH49" s="27"/>
      <c r="CI49" s="27" t="s">
        <v>333</v>
      </c>
      <c r="CJ49" s="27" t="s">
        <v>334</v>
      </c>
      <c r="CK49" s="27"/>
      <c r="CL49" s="27" t="s">
        <v>96</v>
      </c>
      <c r="CM49" s="43" t="s">
        <v>335</v>
      </c>
      <c r="CN49" s="27" t="s">
        <v>96</v>
      </c>
      <c r="CO49" s="43"/>
      <c r="CP49" s="43"/>
      <c r="CQ49" s="43"/>
      <c r="CR49" s="43" t="s">
        <v>96</v>
      </c>
      <c r="CS49" s="43" t="s">
        <v>96</v>
      </c>
      <c r="CT49" s="43"/>
      <c r="CU49" s="43"/>
      <c r="CV49" s="43" t="s">
        <v>96</v>
      </c>
      <c r="CW49" s="43" t="s">
        <v>96</v>
      </c>
      <c r="CX49" s="43" t="s">
        <v>96</v>
      </c>
      <c r="CY49" s="43" t="s">
        <v>106</v>
      </c>
      <c r="CZ49" s="43" t="s">
        <v>109</v>
      </c>
      <c r="DA49" s="43" t="s">
        <v>197</v>
      </c>
      <c r="DB49" s="43"/>
      <c r="DC49" s="43"/>
      <c r="DD49" s="43"/>
      <c r="DE49" s="43"/>
      <c r="DF49" s="43"/>
    </row>
    <row r="50" spans="1:110" ht="14">
      <c r="A50" s="27" t="s">
        <v>336</v>
      </c>
      <c r="B50" s="33" t="s">
        <v>1693</v>
      </c>
      <c r="C50" s="27" t="s">
        <v>337</v>
      </c>
      <c r="D50" s="27" t="s">
        <v>1651</v>
      </c>
      <c r="E50" s="27" t="s">
        <v>1651</v>
      </c>
      <c r="F50" s="39">
        <v>72794636649</v>
      </c>
      <c r="G50" s="39">
        <v>29272989</v>
      </c>
      <c r="H50" s="40">
        <v>2021</v>
      </c>
      <c r="I50" s="39">
        <v>5000000</v>
      </c>
      <c r="J50" s="27" t="s">
        <v>94</v>
      </c>
      <c r="K50" s="41">
        <v>0.46796144175732457</v>
      </c>
      <c r="L50" s="39">
        <v>5269506.3630737485</v>
      </c>
      <c r="M50" s="39">
        <v>30006484</v>
      </c>
      <c r="N50" s="41">
        <v>0.48112946969890324</v>
      </c>
      <c r="O50" s="39">
        <v>6563923.7902699262</v>
      </c>
      <c r="P50" s="39">
        <v>36288706</v>
      </c>
      <c r="Q50" s="41">
        <v>0.49556335378987038</v>
      </c>
      <c r="R50" s="39">
        <v>10523625.297752926</v>
      </c>
      <c r="S50" s="39">
        <v>45258872</v>
      </c>
      <c r="T50" s="41">
        <v>0.63704305601849587</v>
      </c>
      <c r="U50" s="39">
        <v>15408669.487681851</v>
      </c>
      <c r="V50" s="39">
        <v>55241372</v>
      </c>
      <c r="W50" s="41">
        <v>0.76420138230752077</v>
      </c>
      <c r="X50" s="42"/>
      <c r="Y50" s="42"/>
      <c r="Z50" s="42"/>
      <c r="AA50" s="42"/>
      <c r="AB50" s="42"/>
      <c r="AC50" s="42"/>
      <c r="AD50" s="42"/>
      <c r="AE50" s="42"/>
      <c r="AF50" s="42"/>
      <c r="AG50" s="42"/>
      <c r="AH50" s="42"/>
      <c r="AI50" s="42"/>
      <c r="AJ50" s="42"/>
      <c r="AK50" s="39"/>
      <c r="AL50" s="39"/>
      <c r="AM50" s="39"/>
      <c r="AN50" s="39">
        <v>42000</v>
      </c>
      <c r="AO50" s="39"/>
      <c r="AP50" s="39"/>
      <c r="AQ50" s="39"/>
      <c r="AR50" s="39"/>
      <c r="AS50" s="42"/>
      <c r="AT50" s="42"/>
      <c r="AU50" s="42"/>
      <c r="AV50" s="42"/>
      <c r="AW50" s="42"/>
      <c r="AX50" s="42">
        <v>0.17499999999999999</v>
      </c>
      <c r="AY50" s="42"/>
      <c r="AZ50" s="42"/>
      <c r="BA50" s="42"/>
      <c r="BB50" s="42"/>
      <c r="BC50" s="42"/>
      <c r="BD50" s="42"/>
      <c r="BE50" s="42"/>
      <c r="BF50" s="42"/>
      <c r="BG50" s="42"/>
      <c r="BH50" s="42"/>
      <c r="BI50" s="42"/>
      <c r="BJ50" s="42"/>
      <c r="BK50" s="42"/>
      <c r="BL50" s="42"/>
      <c r="BM50" s="42"/>
      <c r="BN50" s="42"/>
      <c r="BO50" s="42"/>
      <c r="BP50" s="42"/>
      <c r="BQ50" s="42"/>
      <c r="BR50" s="42"/>
      <c r="BS50" s="42"/>
      <c r="BT50" s="42"/>
      <c r="BU50" s="42"/>
      <c r="BV50" s="42"/>
      <c r="BW50" s="39"/>
      <c r="BX50" s="39"/>
      <c r="BY50" s="39"/>
      <c r="BZ50" s="39"/>
      <c r="CA50" s="39"/>
      <c r="CB50" s="27" t="s">
        <v>95</v>
      </c>
      <c r="CC50" s="27" t="s">
        <v>96</v>
      </c>
      <c r="CD50" s="27" t="s">
        <v>96</v>
      </c>
      <c r="CE50" s="27" t="s">
        <v>338</v>
      </c>
      <c r="CF50" s="27" t="s">
        <v>96</v>
      </c>
      <c r="CG50" s="27" t="s">
        <v>96</v>
      </c>
      <c r="CH50" s="27"/>
      <c r="CI50" s="27"/>
      <c r="CJ50" s="27" t="s">
        <v>123</v>
      </c>
      <c r="CK50" s="27"/>
      <c r="CL50" s="27" t="s">
        <v>96</v>
      </c>
      <c r="CM50" s="27" t="s">
        <v>339</v>
      </c>
      <c r="CN50" s="27" t="s">
        <v>95</v>
      </c>
      <c r="CO50" s="27"/>
      <c r="CP50" s="27"/>
      <c r="CQ50" s="27"/>
      <c r="CR50" s="43" t="s">
        <v>96</v>
      </c>
      <c r="CS50" s="43" t="s">
        <v>96</v>
      </c>
      <c r="CT50" s="43"/>
      <c r="CU50" s="43"/>
      <c r="CV50" s="43"/>
      <c r="CW50" s="43"/>
      <c r="CX50" s="43"/>
      <c r="CY50" s="43" t="s">
        <v>106</v>
      </c>
      <c r="CZ50" s="43" t="s">
        <v>148</v>
      </c>
      <c r="DA50" s="43" t="s">
        <v>1471</v>
      </c>
      <c r="DB50" s="43"/>
      <c r="DC50" s="43"/>
      <c r="DD50" s="43"/>
      <c r="DE50" s="43"/>
      <c r="DF50" s="43"/>
    </row>
    <row r="51" spans="1:110" ht="14">
      <c r="A51" s="27" t="s">
        <v>340</v>
      </c>
      <c r="B51" s="27" t="s">
        <v>1713</v>
      </c>
      <c r="C51" s="27" t="s">
        <v>341</v>
      </c>
      <c r="D51" s="27" t="s">
        <v>122</v>
      </c>
      <c r="E51" s="27" t="s">
        <v>122</v>
      </c>
      <c r="F51" s="39">
        <v>71198635102</v>
      </c>
      <c r="G51" s="39">
        <v>3911342</v>
      </c>
      <c r="H51" s="40">
        <v>2022</v>
      </c>
      <c r="I51" s="39">
        <v>1844382</v>
      </c>
      <c r="J51" s="27" t="s">
        <v>152</v>
      </c>
      <c r="K51" s="41">
        <v>1.2919098789783696</v>
      </c>
      <c r="L51" s="39">
        <v>1844382.0000000002</v>
      </c>
      <c r="M51" s="39">
        <v>3911342</v>
      </c>
      <c r="N51" s="41">
        <v>1.2919098789783696</v>
      </c>
      <c r="O51" s="39">
        <v>1945882.4429919766</v>
      </c>
      <c r="P51" s="39">
        <v>3737606</v>
      </c>
      <c r="Q51" s="41">
        <v>1.4263634998767882</v>
      </c>
      <c r="R51" s="39">
        <v>1923367.2415201615</v>
      </c>
      <c r="S51" s="39">
        <v>3500453</v>
      </c>
      <c r="T51" s="41">
        <v>1.5053763875235746</v>
      </c>
      <c r="U51" s="39">
        <v>1834418.9273848385</v>
      </c>
      <c r="V51" s="39">
        <v>3247185</v>
      </c>
      <c r="W51" s="41">
        <v>1.5477422076372016</v>
      </c>
      <c r="X51" s="42">
        <v>0.3135</v>
      </c>
      <c r="Y51" s="42">
        <v>3.6999999999999998E-2</v>
      </c>
      <c r="Z51" s="42">
        <v>2.07E-2</v>
      </c>
      <c r="AA51" s="42">
        <v>0.2319</v>
      </c>
      <c r="AB51" s="42">
        <v>0.22869999999999999</v>
      </c>
      <c r="AC51" s="42">
        <v>2.2000000000000001E-3</v>
      </c>
      <c r="AD51" s="42">
        <v>9.7999999999999997E-3</v>
      </c>
      <c r="AE51" s="42">
        <v>5.6800000000000003E-2</v>
      </c>
      <c r="AF51" s="42">
        <v>3.7100000000000001E-2</v>
      </c>
      <c r="AG51" s="42"/>
      <c r="AH51" s="42"/>
      <c r="AI51" s="42"/>
      <c r="AJ51" s="42">
        <v>6.25E-2</v>
      </c>
      <c r="AK51" s="39">
        <v>630882</v>
      </c>
      <c r="AL51" s="39">
        <v>565300</v>
      </c>
      <c r="AM51" s="39">
        <v>1431693</v>
      </c>
      <c r="AN51" s="39">
        <v>54000</v>
      </c>
      <c r="AO51" s="39">
        <v>111262</v>
      </c>
      <c r="AP51" s="39">
        <v>449675</v>
      </c>
      <c r="AQ51" s="39">
        <v>693517</v>
      </c>
      <c r="AR51" s="39">
        <v>6866</v>
      </c>
      <c r="AS51" s="42"/>
      <c r="AT51" s="42"/>
      <c r="AU51" s="42"/>
      <c r="AV51" s="42"/>
      <c r="AW51" s="42"/>
      <c r="AX51" s="42"/>
      <c r="AY51" s="42">
        <v>0.995</v>
      </c>
      <c r="AZ51" s="42"/>
      <c r="BA51" s="42"/>
      <c r="BB51" s="42"/>
      <c r="BC51" s="42"/>
      <c r="BD51" s="42"/>
      <c r="BE51" s="42"/>
      <c r="BF51" s="42">
        <v>0.50381778741865502</v>
      </c>
      <c r="BG51" s="42"/>
      <c r="BH51" s="42">
        <v>8.9967462039045598E-3</v>
      </c>
      <c r="BI51" s="42">
        <v>3.5986984815618198E-2</v>
      </c>
      <c r="BJ51" s="42">
        <v>0.26090563991323201</v>
      </c>
      <c r="BK51" s="42"/>
      <c r="BL51" s="42">
        <v>8.0970715835140997E-2</v>
      </c>
      <c r="BM51" s="42"/>
      <c r="BN51" s="42">
        <v>8.9967462039045598E-3</v>
      </c>
      <c r="BO51" s="42"/>
      <c r="BP51" s="42">
        <v>0.100325379609544</v>
      </c>
      <c r="BQ51" s="42"/>
      <c r="BR51" s="42"/>
      <c r="BS51" s="42"/>
      <c r="BT51" s="42"/>
      <c r="BU51" s="42"/>
      <c r="BV51" s="42"/>
      <c r="BW51" s="39">
        <v>22274</v>
      </c>
      <c r="BX51" s="39"/>
      <c r="BY51" s="39"/>
      <c r="BZ51" s="39"/>
      <c r="CA51" s="39"/>
      <c r="CB51" s="27" t="s">
        <v>96</v>
      </c>
      <c r="CC51" s="27" t="s">
        <v>96</v>
      </c>
      <c r="CD51" s="27" t="s">
        <v>96</v>
      </c>
      <c r="CE51" s="27" t="s">
        <v>342</v>
      </c>
      <c r="CF51" s="27" t="s">
        <v>96</v>
      </c>
      <c r="CG51" s="27" t="s">
        <v>96</v>
      </c>
      <c r="CH51" s="27" t="s">
        <v>96</v>
      </c>
      <c r="CI51" s="27" t="s">
        <v>343</v>
      </c>
      <c r="CJ51" s="27" t="s">
        <v>1556</v>
      </c>
      <c r="CK51" s="27"/>
      <c r="CL51" s="27" t="s">
        <v>96</v>
      </c>
      <c r="CM51" s="27" t="s">
        <v>344</v>
      </c>
      <c r="CN51" s="27" t="s">
        <v>96</v>
      </c>
      <c r="CO51" s="27"/>
      <c r="CP51" s="27" t="s">
        <v>96</v>
      </c>
      <c r="CQ51" s="27"/>
      <c r="CR51" s="43" t="s">
        <v>96</v>
      </c>
      <c r="CS51" s="43" t="s">
        <v>96</v>
      </c>
      <c r="CT51" s="43"/>
      <c r="CU51" s="43" t="s">
        <v>96</v>
      </c>
      <c r="CV51" s="43" t="s">
        <v>96</v>
      </c>
      <c r="CW51" s="43" t="s">
        <v>96</v>
      </c>
      <c r="CX51" s="43" t="s">
        <v>96</v>
      </c>
      <c r="CY51" s="43" t="s">
        <v>1721</v>
      </c>
      <c r="CZ51" s="43" t="s">
        <v>109</v>
      </c>
      <c r="DA51" s="43" t="s">
        <v>1470</v>
      </c>
      <c r="DB51" s="43" t="s">
        <v>96</v>
      </c>
      <c r="DC51" s="43" t="s">
        <v>168</v>
      </c>
      <c r="DD51" s="43" t="s">
        <v>1472</v>
      </c>
      <c r="DE51" s="43" t="s">
        <v>109</v>
      </c>
      <c r="DF51" s="43" t="s">
        <v>1470</v>
      </c>
    </row>
    <row r="52" spans="1:110" ht="14">
      <c r="A52" s="27" t="s">
        <v>346</v>
      </c>
      <c r="B52" s="27" t="s">
        <v>1714</v>
      </c>
      <c r="C52" s="27" t="s">
        <v>347</v>
      </c>
      <c r="D52" s="27" t="s">
        <v>1650</v>
      </c>
      <c r="E52" s="27" t="s">
        <v>1650</v>
      </c>
      <c r="F52" s="39">
        <v>107351800000</v>
      </c>
      <c r="G52" s="39">
        <v>11163965</v>
      </c>
      <c r="H52" s="40">
        <v>2021</v>
      </c>
      <c r="I52" s="39">
        <v>4572000</v>
      </c>
      <c r="J52" s="27" t="s">
        <v>194</v>
      </c>
      <c r="K52" s="41">
        <v>1.1220052550559119</v>
      </c>
      <c r="L52" s="39">
        <v>4612956.9461117424</v>
      </c>
      <c r="M52" s="39">
        <v>11080372</v>
      </c>
      <c r="N52" s="41">
        <v>1.1405969229666046</v>
      </c>
      <c r="O52" s="39">
        <v>4996763.8825427247</v>
      </c>
      <c r="P52" s="39">
        <v>10726136</v>
      </c>
      <c r="Q52" s="41">
        <v>1.2762996909381805</v>
      </c>
      <c r="R52" s="39">
        <v>5260902.8828154095</v>
      </c>
      <c r="S52" s="39">
        <v>10158586</v>
      </c>
      <c r="T52" s="41">
        <v>1.4188424014581023</v>
      </c>
      <c r="U52" s="39">
        <v>5290498.9638019903</v>
      </c>
      <c r="V52" s="39">
        <v>9423308</v>
      </c>
      <c r="W52" s="41">
        <v>1.5381559967101306</v>
      </c>
      <c r="X52" s="42">
        <v>0.68899999999999995</v>
      </c>
      <c r="Y52" s="42">
        <v>4.5999999999999999E-2</v>
      </c>
      <c r="Z52" s="42">
        <v>1.6E-2</v>
      </c>
      <c r="AA52" s="42">
        <v>0.123</v>
      </c>
      <c r="AB52" s="42">
        <v>9.6000000000000002E-2</v>
      </c>
      <c r="AC52" s="42"/>
      <c r="AD52" s="42"/>
      <c r="AE52" s="42"/>
      <c r="AF52" s="42">
        <v>0.03</v>
      </c>
      <c r="AG52" s="42"/>
      <c r="AH52" s="42"/>
      <c r="AI52" s="42"/>
      <c r="AJ52" s="42"/>
      <c r="AK52" s="39"/>
      <c r="AL52" s="39"/>
      <c r="AM52" s="39"/>
      <c r="AN52" s="39"/>
      <c r="AO52" s="39">
        <v>235498</v>
      </c>
      <c r="AP52" s="39"/>
      <c r="AQ52" s="39"/>
      <c r="AR52" s="39"/>
      <c r="AS52" s="42"/>
      <c r="AT52" s="42"/>
      <c r="AU52" s="42"/>
      <c r="AV52" s="42"/>
      <c r="AW52" s="42"/>
      <c r="AX52" s="42"/>
      <c r="AY52" s="42">
        <v>0.77100000000000002</v>
      </c>
      <c r="AZ52" s="42"/>
      <c r="BA52" s="42"/>
      <c r="BB52" s="42">
        <v>1</v>
      </c>
      <c r="BC52" s="42"/>
      <c r="BD52" s="42">
        <v>0.91817465183498304</v>
      </c>
      <c r="BE52" s="42"/>
      <c r="BF52" s="42"/>
      <c r="BG52" s="42"/>
      <c r="BH52" s="42"/>
      <c r="BI52" s="42"/>
      <c r="BJ52" s="42">
        <v>8.1825348165017103E-2</v>
      </c>
      <c r="BK52" s="42"/>
      <c r="BL52" s="42"/>
      <c r="BM52" s="42"/>
      <c r="BN52" s="42"/>
      <c r="BO52" s="42"/>
      <c r="BP52" s="42"/>
      <c r="BQ52" s="42"/>
      <c r="BR52" s="42"/>
      <c r="BS52" s="42"/>
      <c r="BT52" s="42"/>
      <c r="BU52" s="42"/>
      <c r="BV52" s="42"/>
      <c r="BW52" s="39"/>
      <c r="BX52" s="39"/>
      <c r="BY52" s="39"/>
      <c r="BZ52" s="39"/>
      <c r="CA52" s="39"/>
      <c r="CB52" s="27" t="s">
        <v>95</v>
      </c>
      <c r="CC52" s="27" t="s">
        <v>95</v>
      </c>
      <c r="CD52" s="27"/>
      <c r="CE52" s="27"/>
      <c r="CF52" s="27"/>
      <c r="CG52" s="27"/>
      <c r="CH52" s="27"/>
      <c r="CI52" s="27"/>
      <c r="CJ52" s="27" t="s">
        <v>123</v>
      </c>
      <c r="CK52" s="27"/>
      <c r="CL52" s="27"/>
      <c r="CM52" s="27"/>
      <c r="CN52" s="27" t="s">
        <v>96</v>
      </c>
      <c r="CO52" s="27"/>
      <c r="CP52" s="27"/>
      <c r="CQ52" s="27"/>
      <c r="CR52" s="43" t="s">
        <v>96</v>
      </c>
      <c r="CS52" s="43" t="s">
        <v>96</v>
      </c>
      <c r="CT52" s="43"/>
      <c r="CU52" s="43"/>
      <c r="CV52" s="43"/>
      <c r="CW52" s="43"/>
      <c r="CX52" s="43"/>
      <c r="CY52" s="43" t="s">
        <v>106</v>
      </c>
      <c r="CZ52" s="43" t="s">
        <v>198</v>
      </c>
      <c r="DA52" s="43" t="s">
        <v>1470</v>
      </c>
      <c r="DB52" s="43"/>
      <c r="DC52" s="43"/>
      <c r="DD52" s="43"/>
      <c r="DE52" s="43"/>
      <c r="DF52" s="43"/>
    </row>
    <row r="53" spans="1:110" ht="14">
      <c r="A53" s="27" t="s">
        <v>348</v>
      </c>
      <c r="B53" s="27" t="s">
        <v>1714</v>
      </c>
      <c r="C53" s="27" t="s">
        <v>349</v>
      </c>
      <c r="D53" s="27" t="s">
        <v>122</v>
      </c>
      <c r="E53" s="27" t="s">
        <v>122</v>
      </c>
      <c r="F53" s="39">
        <v>3281419347</v>
      </c>
      <c r="G53" s="39">
        <v>185394</v>
      </c>
      <c r="H53" s="40">
        <v>2023</v>
      </c>
      <c r="I53" s="39">
        <v>213000</v>
      </c>
      <c r="J53" s="27" t="s">
        <v>102</v>
      </c>
      <c r="K53" s="41">
        <v>3.147683548742767</v>
      </c>
      <c r="L53" s="39">
        <v>216765.34721205654</v>
      </c>
      <c r="M53" s="39">
        <v>185295</v>
      </c>
      <c r="N53" s="41">
        <v>3.2050387954055721</v>
      </c>
      <c r="O53" s="39">
        <v>201014.60719387027</v>
      </c>
      <c r="P53" s="39">
        <v>184965</v>
      </c>
      <c r="Q53" s="41">
        <v>2.9774549304791877</v>
      </c>
      <c r="R53" s="39">
        <v>177665.38340620178</v>
      </c>
      <c r="S53" s="39">
        <v>180704</v>
      </c>
      <c r="T53" s="41">
        <v>2.6936563390156514</v>
      </c>
      <c r="U53" s="39">
        <v>149032.77648160566</v>
      </c>
      <c r="V53" s="39">
        <v>173895</v>
      </c>
      <c r="W53" s="41">
        <v>2.3480202229042431</v>
      </c>
      <c r="X53" s="42">
        <v>0.28000000000000003</v>
      </c>
      <c r="Y53" s="42">
        <v>7.5999999999999998E-2</v>
      </c>
      <c r="Z53" s="42">
        <v>4.1000000000000002E-2</v>
      </c>
      <c r="AA53" s="42">
        <v>0.154</v>
      </c>
      <c r="AB53" s="42">
        <v>0.14799999999999999</v>
      </c>
      <c r="AC53" s="42">
        <v>6.0000000000000001E-3</v>
      </c>
      <c r="AD53" s="42">
        <v>0.01</v>
      </c>
      <c r="AE53" s="42"/>
      <c r="AF53" s="42">
        <v>9.2999999999999999E-2</v>
      </c>
      <c r="AG53" s="42">
        <v>1.6E-2</v>
      </c>
      <c r="AH53" s="42">
        <v>3.0000000000000001E-3</v>
      </c>
      <c r="AI53" s="42">
        <v>0.1</v>
      </c>
      <c r="AJ53" s="42">
        <v>6.4000000000000001E-2</v>
      </c>
      <c r="AK53" s="39">
        <v>83600</v>
      </c>
      <c r="AL53" s="39"/>
      <c r="AM53" s="39">
        <v>29709.1</v>
      </c>
      <c r="AN53" s="39"/>
      <c r="AO53" s="39"/>
      <c r="AP53" s="39"/>
      <c r="AQ53" s="39"/>
      <c r="AR53" s="39"/>
      <c r="AS53" s="42"/>
      <c r="AT53" s="42"/>
      <c r="AU53" s="42"/>
      <c r="AV53" s="42"/>
      <c r="AW53" s="42"/>
      <c r="AX53" s="42"/>
      <c r="AY53" s="42"/>
      <c r="AZ53" s="42"/>
      <c r="BA53" s="42"/>
      <c r="BB53" s="42"/>
      <c r="BC53" s="42"/>
      <c r="BD53" s="42"/>
      <c r="BE53" s="42">
        <v>0.57923766816143496</v>
      </c>
      <c r="BF53" s="42"/>
      <c r="BG53" s="42"/>
      <c r="BH53" s="42"/>
      <c r="BI53" s="42"/>
      <c r="BJ53" s="42">
        <v>0.37219730941703999</v>
      </c>
      <c r="BK53" s="42"/>
      <c r="BL53" s="42"/>
      <c r="BM53" s="42"/>
      <c r="BN53" s="42"/>
      <c r="BO53" s="42">
        <v>4.4843049327354299E-2</v>
      </c>
      <c r="BP53" s="42"/>
      <c r="BQ53" s="42"/>
      <c r="BR53" s="42"/>
      <c r="BS53" s="42"/>
      <c r="BT53" s="42"/>
      <c r="BU53" s="42"/>
      <c r="BV53" s="42"/>
      <c r="BW53" s="39"/>
      <c r="BX53" s="39"/>
      <c r="BY53" s="39"/>
      <c r="BZ53" s="39"/>
      <c r="CA53" s="39"/>
      <c r="CB53" s="27" t="s">
        <v>95</v>
      </c>
      <c r="CC53" s="27" t="s">
        <v>95</v>
      </c>
      <c r="CD53" s="27"/>
      <c r="CE53" s="27"/>
      <c r="CF53" s="27" t="s">
        <v>96</v>
      </c>
      <c r="CG53" s="27"/>
      <c r="CH53" s="27" t="s">
        <v>96</v>
      </c>
      <c r="CI53" s="27" t="s">
        <v>350</v>
      </c>
      <c r="CJ53" s="27" t="s">
        <v>123</v>
      </c>
      <c r="CK53" s="27"/>
      <c r="CL53" s="27" t="s">
        <v>96</v>
      </c>
      <c r="CM53" s="27" t="s">
        <v>351</v>
      </c>
      <c r="CN53" s="27"/>
      <c r="CO53" s="27"/>
      <c r="CP53" s="27"/>
      <c r="CQ53" s="27"/>
      <c r="CR53" s="43"/>
      <c r="CS53" s="43"/>
      <c r="CT53" s="43"/>
      <c r="CU53" s="43"/>
      <c r="CV53" s="43"/>
      <c r="CW53" s="43"/>
      <c r="CX53" s="43"/>
      <c r="CY53" s="43"/>
      <c r="CZ53" s="43"/>
      <c r="DA53" s="43"/>
      <c r="DB53" s="43"/>
      <c r="DC53" s="43"/>
      <c r="DD53" s="43"/>
      <c r="DE53" s="43"/>
      <c r="DF53" s="43"/>
    </row>
    <row r="54" spans="1:110" ht="14">
      <c r="A54" s="27" t="s">
        <v>352</v>
      </c>
      <c r="B54" s="27" t="s">
        <v>1713</v>
      </c>
      <c r="C54" s="27" t="s">
        <v>353</v>
      </c>
      <c r="D54" s="27" t="s">
        <v>122</v>
      </c>
      <c r="E54" s="27" t="s">
        <v>122</v>
      </c>
      <c r="F54" s="39">
        <v>30935566077</v>
      </c>
      <c r="G54" s="39">
        <v>1324626</v>
      </c>
      <c r="H54" s="40">
        <v>2022</v>
      </c>
      <c r="I54" s="39">
        <v>614620</v>
      </c>
      <c r="J54" s="27" t="s">
        <v>94</v>
      </c>
      <c r="K54" s="41">
        <v>1.2712195072110197</v>
      </c>
      <c r="L54" s="39">
        <v>614620</v>
      </c>
      <c r="M54" s="39">
        <v>1324626</v>
      </c>
      <c r="N54" s="41">
        <v>1.2712195072110197</v>
      </c>
      <c r="O54" s="39">
        <v>694677.23290204164</v>
      </c>
      <c r="P54" s="39">
        <v>1417915</v>
      </c>
      <c r="Q54" s="41">
        <v>1.3422703727811836</v>
      </c>
      <c r="R54" s="39">
        <v>763684.89697948017</v>
      </c>
      <c r="S54" s="39">
        <v>1482802</v>
      </c>
      <c r="T54" s="41">
        <v>1.4110362603940898</v>
      </c>
      <c r="U54" s="39">
        <v>802968.45591858728</v>
      </c>
      <c r="V54" s="39">
        <v>1507913</v>
      </c>
      <c r="W54" s="41">
        <v>1.4589128005787757</v>
      </c>
      <c r="X54" s="42">
        <v>0.41639999999999999</v>
      </c>
      <c r="Y54" s="42">
        <v>3.9199999999999999E-2</v>
      </c>
      <c r="Z54" s="42">
        <v>3.2399999999999998E-2</v>
      </c>
      <c r="AA54" s="42">
        <v>0.24329999999999999</v>
      </c>
      <c r="AB54" s="42">
        <v>0.14710000000000001</v>
      </c>
      <c r="AC54" s="42"/>
      <c r="AD54" s="42">
        <v>2.1399999999999999E-2</v>
      </c>
      <c r="AE54" s="42"/>
      <c r="AF54" s="42">
        <v>6.08E-2</v>
      </c>
      <c r="AG54" s="42"/>
      <c r="AH54" s="42"/>
      <c r="AI54" s="42"/>
      <c r="AJ54" s="42">
        <v>3.95E-2</v>
      </c>
      <c r="AK54" s="39">
        <v>97410</v>
      </c>
      <c r="AL54" s="39">
        <v>20499</v>
      </c>
      <c r="AM54" s="39">
        <v>1112622</v>
      </c>
      <c r="AN54" s="39">
        <v>16000</v>
      </c>
      <c r="AO54" s="39">
        <v>32303</v>
      </c>
      <c r="AP54" s="39">
        <v>206521</v>
      </c>
      <c r="AQ54" s="39">
        <v>153023</v>
      </c>
      <c r="AR54" s="39">
        <v>1379</v>
      </c>
      <c r="AS54" s="42"/>
      <c r="AT54" s="42"/>
      <c r="AU54" s="42"/>
      <c r="AV54" s="42"/>
      <c r="AW54" s="42"/>
      <c r="AX54" s="42"/>
      <c r="AY54" s="42"/>
      <c r="AZ54" s="42"/>
      <c r="BA54" s="42"/>
      <c r="BB54" s="42"/>
      <c r="BC54" s="42"/>
      <c r="BD54" s="42"/>
      <c r="BE54" s="42"/>
      <c r="BF54" s="42"/>
      <c r="BG54" s="42">
        <v>0.59080934518166295</v>
      </c>
      <c r="BH54" s="42"/>
      <c r="BI54" s="42">
        <v>1.6488156437887501E-2</v>
      </c>
      <c r="BJ54" s="42">
        <v>0.131417436223873</v>
      </c>
      <c r="BK54" s="42">
        <v>2.3886688172837098E-2</v>
      </c>
      <c r="BL54" s="42"/>
      <c r="BM54" s="42"/>
      <c r="BN54" s="42"/>
      <c r="BO54" s="42"/>
      <c r="BP54" s="42">
        <v>0.23739837398374</v>
      </c>
      <c r="BQ54" s="42"/>
      <c r="BR54" s="42"/>
      <c r="BS54" s="42"/>
      <c r="BT54" s="42"/>
      <c r="BU54" s="42"/>
      <c r="BV54" s="42"/>
      <c r="BW54" s="39"/>
      <c r="BX54" s="39"/>
      <c r="BY54" s="39"/>
      <c r="BZ54" s="39"/>
      <c r="CA54" s="39"/>
      <c r="CB54" s="27" t="s">
        <v>96</v>
      </c>
      <c r="CC54" s="27" t="s">
        <v>95</v>
      </c>
      <c r="CD54" s="27" t="s">
        <v>96</v>
      </c>
      <c r="CE54" s="27" t="s">
        <v>354</v>
      </c>
      <c r="CF54" s="27" t="s">
        <v>96</v>
      </c>
      <c r="CG54" s="27" t="s">
        <v>96</v>
      </c>
      <c r="CH54" s="27" t="s">
        <v>96</v>
      </c>
      <c r="CI54" s="27" t="s">
        <v>355</v>
      </c>
      <c r="CJ54" s="27" t="s">
        <v>356</v>
      </c>
      <c r="CK54" s="27"/>
      <c r="CL54" s="27" t="s">
        <v>96</v>
      </c>
      <c r="CM54" s="27" t="s">
        <v>202</v>
      </c>
      <c r="CN54" s="27" t="s">
        <v>96</v>
      </c>
      <c r="CO54" s="27" t="s">
        <v>357</v>
      </c>
      <c r="CP54" s="27"/>
      <c r="CQ54" s="27"/>
      <c r="CR54" s="43" t="s">
        <v>96</v>
      </c>
      <c r="CS54" s="43" t="s">
        <v>96</v>
      </c>
      <c r="CT54" s="43"/>
      <c r="CU54" s="43" t="s">
        <v>96</v>
      </c>
      <c r="CV54" s="43" t="s">
        <v>96</v>
      </c>
      <c r="CW54" s="43" t="s">
        <v>96</v>
      </c>
      <c r="CX54" s="43" t="s">
        <v>96</v>
      </c>
      <c r="CY54" s="43" t="s">
        <v>1723</v>
      </c>
      <c r="CZ54" s="43" t="s">
        <v>109</v>
      </c>
      <c r="DA54" s="43" t="s">
        <v>1470</v>
      </c>
      <c r="DB54" s="43"/>
      <c r="DC54" s="43"/>
      <c r="DD54" s="43"/>
      <c r="DE54" s="43"/>
      <c r="DF54" s="43"/>
    </row>
    <row r="55" spans="1:110" ht="14">
      <c r="A55" s="27" t="s">
        <v>358</v>
      </c>
      <c r="B55" s="27" t="s">
        <v>1713</v>
      </c>
      <c r="C55" s="27" t="s">
        <v>1467</v>
      </c>
      <c r="D55" s="27" t="s">
        <v>122</v>
      </c>
      <c r="E55" s="27" t="s">
        <v>122</v>
      </c>
      <c r="F55" s="39">
        <v>290972714482</v>
      </c>
      <c r="G55" s="39">
        <v>10542817</v>
      </c>
      <c r="H55" s="40">
        <v>2021</v>
      </c>
      <c r="I55" s="39">
        <v>5904400</v>
      </c>
      <c r="J55" s="27" t="s">
        <v>94</v>
      </c>
      <c r="K55" s="41">
        <v>1.5343563637844027</v>
      </c>
      <c r="L55" s="39">
        <v>5905029.3492750134</v>
      </c>
      <c r="M55" s="39">
        <v>10518548</v>
      </c>
      <c r="N55" s="41">
        <v>1.5380604433951779</v>
      </c>
      <c r="O55" s="39">
        <v>6038028.3163972171</v>
      </c>
      <c r="P55" s="39">
        <v>10439830</v>
      </c>
      <c r="Q55" s="41">
        <v>1.5845606042047731</v>
      </c>
      <c r="R55" s="39">
        <v>6128995.4455770319</v>
      </c>
      <c r="S55" s="39">
        <v>10122165</v>
      </c>
      <c r="T55" s="41">
        <v>1.6589107512124792</v>
      </c>
      <c r="U55" s="39">
        <v>6152359.2049929062</v>
      </c>
      <c r="V55" s="39">
        <v>9840449</v>
      </c>
      <c r="W55" s="41">
        <v>1.712907474426846</v>
      </c>
      <c r="X55" s="42">
        <v>0.37076652079162598</v>
      </c>
      <c r="Y55" s="42">
        <v>6.7749290410694704E-2</v>
      </c>
      <c r="Z55" s="42">
        <v>8.6411824311612997E-2</v>
      </c>
      <c r="AA55" s="42">
        <v>0.28794145796329401</v>
      </c>
      <c r="AB55" s="42">
        <v>0.12726418778567899</v>
      </c>
      <c r="AC55" s="42"/>
      <c r="AD55" s="42">
        <v>3.9256301105458601E-2</v>
      </c>
      <c r="AE55" s="42"/>
      <c r="AF55" s="42">
        <v>2.0610417631634601E-2</v>
      </c>
      <c r="AG55" s="42"/>
      <c r="AH55" s="42"/>
      <c r="AI55" s="42"/>
      <c r="AJ55" s="42"/>
      <c r="AK55" s="39">
        <v>2996690</v>
      </c>
      <c r="AL55" s="39">
        <v>398041</v>
      </c>
      <c r="AM55" s="39">
        <v>16496214</v>
      </c>
      <c r="AN55" s="39">
        <v>173000</v>
      </c>
      <c r="AO55" s="39">
        <v>1558339</v>
      </c>
      <c r="AP55" s="39">
        <v>4664816</v>
      </c>
      <c r="AQ55" s="39">
        <v>129841</v>
      </c>
      <c r="AR55" s="39">
        <v>44895</v>
      </c>
      <c r="AS55" s="42"/>
      <c r="AT55" s="42"/>
      <c r="AU55" s="42"/>
      <c r="AV55" s="42"/>
      <c r="AW55" s="42"/>
      <c r="AX55" s="42"/>
      <c r="AY55" s="42"/>
      <c r="AZ55" s="42"/>
      <c r="BA55" s="42"/>
      <c r="BB55" s="42"/>
      <c r="BC55" s="42"/>
      <c r="BD55" s="42"/>
      <c r="BE55" s="42"/>
      <c r="BF55" s="42">
        <v>0.45444097849285803</v>
      </c>
      <c r="BG55" s="42"/>
      <c r="BH55" s="42"/>
      <c r="BI55" s="42">
        <v>0.1251026104088</v>
      </c>
      <c r="BJ55" s="42">
        <v>0.301264160236414</v>
      </c>
      <c r="BK55" s="42">
        <v>0.119192250861927</v>
      </c>
      <c r="BL55" s="42"/>
      <c r="BM55" s="42"/>
      <c r="BN55" s="42"/>
      <c r="BO55" s="42"/>
      <c r="BP55" s="42"/>
      <c r="BQ55" s="42"/>
      <c r="BR55" s="42"/>
      <c r="BS55" s="42"/>
      <c r="BT55" s="42"/>
      <c r="BU55" s="42"/>
      <c r="BV55" s="42"/>
      <c r="BW55" s="39">
        <v>29313</v>
      </c>
      <c r="BX55" s="39"/>
      <c r="BY55" s="39"/>
      <c r="BZ55" s="39"/>
      <c r="CA55" s="39"/>
      <c r="CB55" s="27" t="s">
        <v>96</v>
      </c>
      <c r="CC55" s="27" t="s">
        <v>96</v>
      </c>
      <c r="CD55" s="27" t="s">
        <v>96</v>
      </c>
      <c r="CE55" s="27" t="s">
        <v>360</v>
      </c>
      <c r="CF55" s="27" t="s">
        <v>96</v>
      </c>
      <c r="CG55" s="27" t="s">
        <v>96</v>
      </c>
      <c r="CH55" s="27" t="s">
        <v>96</v>
      </c>
      <c r="CI55" s="27" t="s">
        <v>361</v>
      </c>
      <c r="CJ55" s="27" t="s">
        <v>1559</v>
      </c>
      <c r="CK55" s="27"/>
      <c r="CL55" s="27" t="s">
        <v>96</v>
      </c>
      <c r="CM55" s="27" t="s">
        <v>362</v>
      </c>
      <c r="CN55" s="27" t="s">
        <v>96</v>
      </c>
      <c r="CO55" s="27"/>
      <c r="CP55" s="27" t="s">
        <v>95</v>
      </c>
      <c r="CQ55" s="27"/>
      <c r="CR55" s="43" t="s">
        <v>96</v>
      </c>
      <c r="CS55" s="43" t="s">
        <v>96</v>
      </c>
      <c r="CT55" s="43"/>
      <c r="CU55" s="43" t="s">
        <v>96</v>
      </c>
      <c r="CV55" s="43" t="s">
        <v>96</v>
      </c>
      <c r="CW55" s="43" t="s">
        <v>96</v>
      </c>
      <c r="CX55" s="43" t="s">
        <v>96</v>
      </c>
      <c r="CY55" s="43" t="s">
        <v>1723</v>
      </c>
      <c r="CZ55" s="43" t="s">
        <v>109</v>
      </c>
      <c r="DA55" s="43" t="s">
        <v>1470</v>
      </c>
      <c r="DB55" s="43" t="s">
        <v>96</v>
      </c>
      <c r="DC55" s="43" t="s">
        <v>168</v>
      </c>
      <c r="DD55" s="43" t="s">
        <v>1435</v>
      </c>
      <c r="DE55" s="43" t="s">
        <v>109</v>
      </c>
      <c r="DF55" t="s">
        <v>107</v>
      </c>
    </row>
    <row r="56" spans="1:110" ht="14">
      <c r="A56" s="27" t="s">
        <v>363</v>
      </c>
      <c r="B56" s="27" t="s">
        <v>1713</v>
      </c>
      <c r="C56" s="27" t="s">
        <v>364</v>
      </c>
      <c r="D56" s="27" t="s">
        <v>122</v>
      </c>
      <c r="E56" s="27" t="s">
        <v>122</v>
      </c>
      <c r="F56" s="39">
        <v>408378204640</v>
      </c>
      <c r="G56" s="39">
        <v>5840116</v>
      </c>
      <c r="H56" s="40">
        <v>2021</v>
      </c>
      <c r="I56" s="39">
        <v>4503000</v>
      </c>
      <c r="J56" s="27" t="s">
        <v>94</v>
      </c>
      <c r="K56" s="41">
        <v>2.1124556946077551</v>
      </c>
      <c r="L56" s="39">
        <v>4549906.3525938792</v>
      </c>
      <c r="M56" s="39">
        <v>5873437</v>
      </c>
      <c r="N56" s="41">
        <v>2.1223513347332381</v>
      </c>
      <c r="O56" s="39">
        <v>4832682.5911778891</v>
      </c>
      <c r="P56" s="39">
        <v>6076783</v>
      </c>
      <c r="Q56" s="41">
        <v>2.1788216359214565</v>
      </c>
      <c r="R56" s="39">
        <v>4989510.9296243368</v>
      </c>
      <c r="S56" s="39">
        <v>6133956</v>
      </c>
      <c r="T56" s="41">
        <v>2.2285606479529516</v>
      </c>
      <c r="U56" s="39">
        <v>5088255.4907152224</v>
      </c>
      <c r="V56" s="39">
        <v>6126448</v>
      </c>
      <c r="W56" s="41">
        <v>2.2754499837360105</v>
      </c>
      <c r="X56" s="42">
        <v>0.23402282174094</v>
      </c>
      <c r="Y56" s="42">
        <v>4.46252381165161E-2</v>
      </c>
      <c r="Z56" s="42">
        <v>5.1318337349475801E-2</v>
      </c>
      <c r="AA56" s="42">
        <v>0.2306802662162</v>
      </c>
      <c r="AB56" s="42">
        <v>7.0608302668277903E-2</v>
      </c>
      <c r="AC56" s="42"/>
      <c r="AD56" s="42"/>
      <c r="AE56" s="42">
        <v>0.24057662702447399</v>
      </c>
      <c r="AF56" s="42">
        <v>1.2086620866083799E-2</v>
      </c>
      <c r="AG56" s="42"/>
      <c r="AH56" s="42"/>
      <c r="AI56" s="42"/>
      <c r="AJ56" s="42">
        <v>0.116081786018033</v>
      </c>
      <c r="AK56" s="39">
        <v>2011068</v>
      </c>
      <c r="AL56" s="39">
        <v>438808</v>
      </c>
      <c r="AM56" s="39">
        <v>13180259</v>
      </c>
      <c r="AN56" s="39">
        <v>131000</v>
      </c>
      <c r="AO56" s="39">
        <v>1261112</v>
      </c>
      <c r="AP56" s="39">
        <v>1063284</v>
      </c>
      <c r="AQ56" s="39">
        <v>13642</v>
      </c>
      <c r="AR56" s="39">
        <v>27530</v>
      </c>
      <c r="AS56" s="42"/>
      <c r="AT56" s="42"/>
      <c r="AU56" s="42"/>
      <c r="AV56" s="42"/>
      <c r="AW56" s="42"/>
      <c r="AX56" s="42"/>
      <c r="AY56" s="42"/>
      <c r="AZ56" s="42">
        <v>1</v>
      </c>
      <c r="BA56" s="42"/>
      <c r="BB56" s="42"/>
      <c r="BC56" s="42"/>
      <c r="BD56" s="42"/>
      <c r="BE56" s="42"/>
      <c r="BF56" s="42">
        <v>1.08816344659116E-2</v>
      </c>
      <c r="BG56" s="42"/>
      <c r="BH56" s="42"/>
      <c r="BI56" s="42">
        <v>0.26337996890961601</v>
      </c>
      <c r="BJ56" s="42">
        <v>0.31223628691983102</v>
      </c>
      <c r="BK56" s="42">
        <v>0.41350210970464102</v>
      </c>
      <c r="BL56" s="42"/>
      <c r="BM56" s="42"/>
      <c r="BN56" s="42"/>
      <c r="BO56" s="42">
        <v>0</v>
      </c>
      <c r="BP56" s="42"/>
      <c r="BQ56" s="42"/>
      <c r="BR56" s="42"/>
      <c r="BS56" s="42"/>
      <c r="BT56" s="42"/>
      <c r="BU56" s="42"/>
      <c r="BV56" s="42"/>
      <c r="BW56" s="39">
        <v>9451</v>
      </c>
      <c r="BX56" s="39"/>
      <c r="BY56" s="39"/>
      <c r="BZ56" s="39"/>
      <c r="CA56" s="39"/>
      <c r="CB56" s="27" t="s">
        <v>96</v>
      </c>
      <c r="CC56" s="27" t="s">
        <v>96</v>
      </c>
      <c r="CD56" s="27" t="s">
        <v>96</v>
      </c>
      <c r="CE56" s="27" t="s">
        <v>365</v>
      </c>
      <c r="CF56" s="27" t="s">
        <v>96</v>
      </c>
      <c r="CG56" s="27" t="s">
        <v>96</v>
      </c>
      <c r="CH56" s="27" t="s">
        <v>96</v>
      </c>
      <c r="CI56" s="27" t="s">
        <v>366</v>
      </c>
      <c r="CJ56" s="27" t="s">
        <v>1563</v>
      </c>
      <c r="CK56" s="27"/>
      <c r="CL56" s="27" t="s">
        <v>96</v>
      </c>
      <c r="CM56" s="27" t="s">
        <v>367</v>
      </c>
      <c r="CN56" s="27" t="s">
        <v>96</v>
      </c>
      <c r="CO56" s="27"/>
      <c r="CP56" s="27" t="s">
        <v>96</v>
      </c>
      <c r="CQ56" s="27"/>
      <c r="CR56" s="43" t="s">
        <v>96</v>
      </c>
      <c r="CS56" s="43" t="s">
        <v>96</v>
      </c>
      <c r="CT56" s="43"/>
      <c r="CU56" s="43" t="s">
        <v>96</v>
      </c>
      <c r="CV56" s="43" t="s">
        <v>96</v>
      </c>
      <c r="CW56" s="43" t="s">
        <v>96</v>
      </c>
      <c r="CX56" s="43" t="s">
        <v>96</v>
      </c>
      <c r="CY56" s="43" t="s">
        <v>1723</v>
      </c>
      <c r="CZ56" s="43" t="s">
        <v>109</v>
      </c>
      <c r="DA56" s="43" t="s">
        <v>1470</v>
      </c>
      <c r="DB56" s="43" t="s">
        <v>96</v>
      </c>
      <c r="DC56" s="43" t="s">
        <v>168</v>
      </c>
      <c r="DD56" s="43" t="s">
        <v>1472</v>
      </c>
      <c r="DE56" s="43" t="s">
        <v>109</v>
      </c>
      <c r="DF56" s="43" t="s">
        <v>1470</v>
      </c>
    </row>
    <row r="57" spans="1:110" ht="14">
      <c r="A57" s="27" t="s">
        <v>368</v>
      </c>
      <c r="B57" t="s">
        <v>1715</v>
      </c>
      <c r="C57" s="27" t="s">
        <v>369</v>
      </c>
      <c r="D57" s="27"/>
      <c r="E57" s="27" t="s">
        <v>1651</v>
      </c>
      <c r="F57" s="44"/>
      <c r="G57" s="39">
        <v>1129177</v>
      </c>
      <c r="H57" s="40" t="s">
        <v>123</v>
      </c>
      <c r="I57" s="39" t="s">
        <v>1620</v>
      </c>
      <c r="J57" s="27"/>
      <c r="K57" s="41">
        <v>0</v>
      </c>
      <c r="L57" s="39">
        <v>189509.53905395066</v>
      </c>
      <c r="M57" s="39">
        <v>1129177</v>
      </c>
      <c r="N57" s="41">
        <v>0.45980764449343742</v>
      </c>
      <c r="O57" s="39">
        <v>216922.01448622235</v>
      </c>
      <c r="P57" s="39">
        <v>1254866</v>
      </c>
      <c r="Q57" s="41">
        <v>0.47360187382824054</v>
      </c>
      <c r="R57" s="39">
        <v>249105.2871712647</v>
      </c>
      <c r="S57" s="39">
        <v>1399070</v>
      </c>
      <c r="T57" s="41">
        <v>0.48780993004308776</v>
      </c>
      <c r="U57" s="39">
        <v>327617.7732929358</v>
      </c>
      <c r="V57" s="39">
        <v>1525301</v>
      </c>
      <c r="W57" s="41">
        <v>0.58846282833918773</v>
      </c>
      <c r="X57" s="42"/>
      <c r="Y57" s="42"/>
      <c r="Z57" s="42"/>
      <c r="AA57" s="42"/>
      <c r="AB57" s="42"/>
      <c r="AC57" s="42"/>
      <c r="AD57" s="42"/>
      <c r="AE57" s="42"/>
      <c r="AF57" s="42"/>
      <c r="AG57" s="42"/>
      <c r="AH57" s="42"/>
      <c r="AI57" s="42"/>
      <c r="AJ57" s="42"/>
      <c r="AK57" s="39"/>
      <c r="AL57" s="39"/>
      <c r="AM57" s="39"/>
      <c r="AN57" s="39">
        <v>2000</v>
      </c>
      <c r="AO57" s="39"/>
      <c r="AP57" s="39"/>
      <c r="AQ57" s="39"/>
      <c r="AR57" s="39">
        <v>782.56</v>
      </c>
      <c r="AS57" s="42"/>
      <c r="AT57" s="42"/>
      <c r="AU57" s="42"/>
      <c r="AV57" s="42"/>
      <c r="AW57" s="42"/>
      <c r="AX57" s="42"/>
      <c r="AY57" s="42">
        <v>0.77600000000000002</v>
      </c>
      <c r="AZ57" s="42"/>
      <c r="BA57" s="42"/>
      <c r="BB57" s="42"/>
      <c r="BC57" s="42"/>
      <c r="BD57" s="42"/>
      <c r="BE57" s="42"/>
      <c r="BF57" s="42"/>
      <c r="BG57" s="42">
        <v>0.62</v>
      </c>
      <c r="BH57" s="42"/>
      <c r="BI57" s="42"/>
      <c r="BJ57" s="42"/>
      <c r="BK57" s="42"/>
      <c r="BL57" s="42"/>
      <c r="BM57" s="42"/>
      <c r="BN57" s="42"/>
      <c r="BO57" s="42"/>
      <c r="BP57" s="42">
        <v>0.38</v>
      </c>
      <c r="BQ57" s="42"/>
      <c r="BR57" s="42"/>
      <c r="BS57" s="42"/>
      <c r="BT57" s="42"/>
      <c r="BU57" s="42"/>
      <c r="BV57" s="42"/>
      <c r="BW57" s="39"/>
      <c r="BX57" s="39"/>
      <c r="BY57" s="39"/>
      <c r="BZ57" s="39"/>
      <c r="CA57" s="39"/>
      <c r="CB57" s="27" t="s">
        <v>96</v>
      </c>
      <c r="CC57" s="27" t="s">
        <v>95</v>
      </c>
      <c r="CD57" s="27" t="s">
        <v>95</v>
      </c>
      <c r="CE57" s="27"/>
      <c r="CF57" s="27" t="s">
        <v>96</v>
      </c>
      <c r="CG57" s="27" t="s">
        <v>95</v>
      </c>
      <c r="CH57" s="27" t="s">
        <v>95</v>
      </c>
      <c r="CI57" s="27"/>
      <c r="CJ57" s="27" t="s">
        <v>123</v>
      </c>
      <c r="CK57" s="27"/>
      <c r="CL57" s="27" t="s">
        <v>96</v>
      </c>
      <c r="CM57" s="27" t="s">
        <v>370</v>
      </c>
      <c r="CN57" s="27"/>
      <c r="CO57" s="27"/>
      <c r="CP57" s="27"/>
      <c r="CQ57" s="27"/>
      <c r="CR57" s="43"/>
      <c r="CS57" s="43"/>
      <c r="CT57" s="43"/>
      <c r="CU57" s="43"/>
      <c r="CV57" s="43"/>
      <c r="CW57" s="43"/>
      <c r="CX57" s="43"/>
      <c r="CY57" s="43"/>
      <c r="CZ57" s="43"/>
      <c r="DA57" s="43"/>
      <c r="DB57" s="43"/>
      <c r="DC57" s="43"/>
      <c r="DD57" s="43"/>
      <c r="DE57" s="43"/>
      <c r="DF57" s="43"/>
    </row>
    <row r="58" spans="1:110" ht="14">
      <c r="A58" s="27" t="s">
        <v>371</v>
      </c>
      <c r="B58" s="27" t="s">
        <v>1714</v>
      </c>
      <c r="C58" s="27" t="s">
        <v>372</v>
      </c>
      <c r="D58" s="27" t="s">
        <v>1650</v>
      </c>
      <c r="E58" s="27" t="s">
        <v>1650</v>
      </c>
      <c r="F58" s="39">
        <v>623062963</v>
      </c>
      <c r="G58" s="39">
        <v>66985</v>
      </c>
      <c r="H58" s="40">
        <v>2022</v>
      </c>
      <c r="I58" s="39">
        <v>13000</v>
      </c>
      <c r="J58" s="27" t="s">
        <v>94</v>
      </c>
      <c r="K58" s="41">
        <v>0.53170767121242646</v>
      </c>
      <c r="L58" s="39">
        <v>13000</v>
      </c>
      <c r="M58" s="39">
        <v>66985</v>
      </c>
      <c r="N58" s="41">
        <v>0.53170767121242646</v>
      </c>
      <c r="O58" s="39">
        <v>13915.918712928655</v>
      </c>
      <c r="P58" s="39">
        <v>64307</v>
      </c>
      <c r="Q58" s="41">
        <v>0.59287176657214957</v>
      </c>
      <c r="R58" s="39">
        <v>14536.368805045964</v>
      </c>
      <c r="S58" s="39">
        <v>63796</v>
      </c>
      <c r="T58" s="41">
        <v>0.62426590944620419</v>
      </c>
      <c r="U58" s="39">
        <v>15078.638020222794</v>
      </c>
      <c r="V58" s="39">
        <v>63254</v>
      </c>
      <c r="W58" s="41">
        <v>0.65310236572716796</v>
      </c>
      <c r="X58" s="42"/>
      <c r="Y58" s="42"/>
      <c r="Z58" s="42"/>
      <c r="AA58" s="42"/>
      <c r="AB58" s="42"/>
      <c r="AC58" s="42"/>
      <c r="AD58" s="42"/>
      <c r="AE58" s="42"/>
      <c r="AF58" s="42"/>
      <c r="AG58" s="42"/>
      <c r="AH58" s="42"/>
      <c r="AI58" s="42"/>
      <c r="AJ58" s="42"/>
      <c r="AK58" s="39"/>
      <c r="AL58" s="39"/>
      <c r="AM58" s="39"/>
      <c r="AN58" s="39">
        <v>1000</v>
      </c>
      <c r="AO58" s="39">
        <v>768</v>
      </c>
      <c r="AP58" s="39"/>
      <c r="AQ58" s="39"/>
      <c r="AR58" s="39">
        <v>18.920000000000002</v>
      </c>
      <c r="AS58" s="42">
        <v>0.79</v>
      </c>
      <c r="AT58" s="42">
        <v>0.21</v>
      </c>
      <c r="AU58" s="42"/>
      <c r="AV58" s="42"/>
      <c r="AW58" s="42"/>
      <c r="AX58" s="42"/>
      <c r="AY58" s="42">
        <v>1</v>
      </c>
      <c r="AZ58" s="42"/>
      <c r="BA58" s="42"/>
      <c r="BB58" s="42"/>
      <c r="BC58" s="42"/>
      <c r="BD58" s="42"/>
      <c r="BE58" s="42"/>
      <c r="BF58" s="42"/>
      <c r="BG58" s="42"/>
      <c r="BH58" s="42"/>
      <c r="BI58" s="42"/>
      <c r="BJ58" s="42"/>
      <c r="BK58" s="42"/>
      <c r="BL58" s="42"/>
      <c r="BM58" s="42"/>
      <c r="BN58" s="42"/>
      <c r="BO58" s="42"/>
      <c r="BP58" s="42"/>
      <c r="BQ58" s="42"/>
      <c r="BR58" s="42"/>
      <c r="BS58" s="42"/>
      <c r="BT58" s="42"/>
      <c r="BU58" s="42"/>
      <c r="BV58" s="42"/>
      <c r="BW58" s="39">
        <v>196</v>
      </c>
      <c r="BX58" s="39">
        <v>40</v>
      </c>
      <c r="BY58" s="39"/>
      <c r="BZ58" s="39"/>
      <c r="CA58" s="39"/>
      <c r="CB58" s="27" t="s">
        <v>95</v>
      </c>
      <c r="CC58" s="27" t="s">
        <v>96</v>
      </c>
      <c r="CD58" s="27" t="s">
        <v>95</v>
      </c>
      <c r="CE58" s="27" t="s">
        <v>373</v>
      </c>
      <c r="CF58" s="27" t="s">
        <v>96</v>
      </c>
      <c r="CG58" s="27" t="s">
        <v>95</v>
      </c>
      <c r="CH58" s="27" t="s">
        <v>95</v>
      </c>
      <c r="CI58" s="27"/>
      <c r="CJ58" s="27" t="s">
        <v>123</v>
      </c>
      <c r="CK58" s="27"/>
      <c r="CL58" s="27"/>
      <c r="CM58" s="27"/>
      <c r="CN58" s="27" t="s">
        <v>95</v>
      </c>
      <c r="CO58" s="27"/>
      <c r="CP58" s="27"/>
      <c r="CQ58" s="27"/>
      <c r="CR58" s="43" t="s">
        <v>96</v>
      </c>
      <c r="CS58" s="43"/>
      <c r="CT58" s="43"/>
      <c r="CU58" s="43"/>
      <c r="CV58" s="43"/>
      <c r="CW58" s="43"/>
      <c r="CX58" s="43" t="s">
        <v>96</v>
      </c>
      <c r="CY58" s="43" t="s">
        <v>106</v>
      </c>
      <c r="CZ58" s="43" t="s">
        <v>198</v>
      </c>
      <c r="DA58" s="43" t="s">
        <v>107</v>
      </c>
      <c r="DB58" s="43"/>
      <c r="DC58" s="43"/>
      <c r="DD58" s="43"/>
      <c r="DE58" s="43"/>
      <c r="DF58" s="43"/>
    </row>
    <row r="59" spans="1:110" ht="14">
      <c r="A59" s="27" t="s">
        <v>374</v>
      </c>
      <c r="B59" s="27" t="s">
        <v>1714</v>
      </c>
      <c r="C59" s="27" t="s">
        <v>375</v>
      </c>
      <c r="D59" s="27" t="s">
        <v>1650</v>
      </c>
      <c r="E59" s="27" t="s">
        <v>1650</v>
      </c>
      <c r="F59" s="39">
        <v>94850719517</v>
      </c>
      <c r="G59" s="39">
        <v>11068027</v>
      </c>
      <c r="H59" s="40">
        <v>2021</v>
      </c>
      <c r="I59" s="39">
        <v>4293943.7514000004</v>
      </c>
      <c r="J59" s="27" t="s">
        <v>94</v>
      </c>
      <c r="K59" s="41">
        <v>1.0629021284362978</v>
      </c>
      <c r="L59" s="39">
        <v>4420106.0023248848</v>
      </c>
      <c r="M59" s="39">
        <v>11178924</v>
      </c>
      <c r="N59" s="41">
        <v>1.0832777339236175</v>
      </c>
      <c r="O59" s="39">
        <v>5412752.6026545754</v>
      </c>
      <c r="P59" s="39">
        <v>11900494</v>
      </c>
      <c r="Q59" s="41">
        <v>1.2461213110443146</v>
      </c>
      <c r="R59" s="39">
        <v>6459804.9680041345</v>
      </c>
      <c r="S59" s="39">
        <v>12553079</v>
      </c>
      <c r="T59" s="41">
        <v>1.4098609434984879</v>
      </c>
      <c r="U59" s="39">
        <v>7234370.9293446541</v>
      </c>
      <c r="V59" s="39">
        <v>12980973</v>
      </c>
      <c r="W59" s="41">
        <v>1.5268650760595261</v>
      </c>
      <c r="X59" s="42">
        <v>0.6</v>
      </c>
      <c r="Y59" s="42">
        <v>0.06</v>
      </c>
      <c r="Z59" s="42">
        <v>0.04</v>
      </c>
      <c r="AA59" s="42">
        <v>0.16</v>
      </c>
      <c r="AB59" s="42">
        <v>0.06</v>
      </c>
      <c r="AC59" s="42"/>
      <c r="AD59" s="42"/>
      <c r="AE59" s="42"/>
      <c r="AF59" s="42"/>
      <c r="AG59" s="42"/>
      <c r="AH59" s="42"/>
      <c r="AI59" s="42"/>
      <c r="AJ59" s="42">
        <v>0.08</v>
      </c>
      <c r="AK59" s="39"/>
      <c r="AL59" s="39"/>
      <c r="AM59" s="39"/>
      <c r="AN59" s="39">
        <v>99000</v>
      </c>
      <c r="AO59" s="39"/>
      <c r="AP59" s="39"/>
      <c r="AQ59" s="39"/>
      <c r="AR59" s="39"/>
      <c r="AS59" s="42"/>
      <c r="AT59" s="42"/>
      <c r="AU59" s="42"/>
      <c r="AV59" s="42"/>
      <c r="AW59" s="42"/>
      <c r="AX59" s="42"/>
      <c r="AY59" s="42"/>
      <c r="AZ59" s="42">
        <v>0.89580000000000004</v>
      </c>
      <c r="BA59" s="42"/>
      <c r="BB59" s="42"/>
      <c r="BC59" s="42"/>
      <c r="BD59" s="42">
        <v>0.55244159410582705</v>
      </c>
      <c r="BE59" s="42">
        <v>0.28335840589417299</v>
      </c>
      <c r="BF59" s="42"/>
      <c r="BG59" s="42"/>
      <c r="BH59" s="42"/>
      <c r="BI59" s="42"/>
      <c r="BJ59" s="42">
        <v>0.06</v>
      </c>
      <c r="BK59" s="42"/>
      <c r="BL59" s="42"/>
      <c r="BM59" s="42"/>
      <c r="BN59" s="42"/>
      <c r="BO59" s="42">
        <v>0.1042</v>
      </c>
      <c r="BP59" s="42"/>
      <c r="BQ59" s="42"/>
      <c r="BR59" s="42"/>
      <c r="BS59" s="42"/>
      <c r="BT59" s="42"/>
      <c r="BU59" s="42"/>
      <c r="BV59" s="42"/>
      <c r="BW59" s="39"/>
      <c r="BX59" s="39"/>
      <c r="BY59" s="39"/>
      <c r="BZ59" s="39"/>
      <c r="CA59" s="39"/>
      <c r="CB59" s="27" t="s">
        <v>96</v>
      </c>
      <c r="CC59" s="27" t="s">
        <v>95</v>
      </c>
      <c r="CD59" s="27" t="s">
        <v>96</v>
      </c>
      <c r="CE59" s="27" t="s">
        <v>376</v>
      </c>
      <c r="CF59" s="27" t="s">
        <v>96</v>
      </c>
      <c r="CG59" s="27" t="s">
        <v>96</v>
      </c>
      <c r="CH59" s="27"/>
      <c r="CI59" s="27"/>
      <c r="CJ59" s="27" t="s">
        <v>1604</v>
      </c>
      <c r="CK59" s="27"/>
      <c r="CL59" s="27"/>
      <c r="CM59" s="27"/>
      <c r="CN59" s="27" t="s">
        <v>96</v>
      </c>
      <c r="CO59" s="27"/>
      <c r="CP59" s="27"/>
      <c r="CQ59" s="27"/>
      <c r="CR59" s="43" t="s">
        <v>96</v>
      </c>
      <c r="CS59" s="43" t="s">
        <v>96</v>
      </c>
      <c r="CT59" s="43" t="s">
        <v>96</v>
      </c>
      <c r="CU59" s="43"/>
      <c r="CV59" s="43" t="s">
        <v>96</v>
      </c>
      <c r="CW59" s="43" t="s">
        <v>96</v>
      </c>
      <c r="CX59" s="43" t="s">
        <v>96</v>
      </c>
      <c r="CY59" s="43" t="s">
        <v>1723</v>
      </c>
      <c r="CZ59" s="43" t="s">
        <v>109</v>
      </c>
      <c r="DA59" s="43" t="s">
        <v>197</v>
      </c>
      <c r="DB59" s="43"/>
      <c r="DC59" s="43"/>
      <c r="DD59" s="43"/>
      <c r="DE59" s="43"/>
      <c r="DF59" s="43"/>
    </row>
    <row r="60" spans="1:110" ht="14">
      <c r="A60" s="27" t="s">
        <v>377</v>
      </c>
      <c r="B60" s="27" t="s">
        <v>1714</v>
      </c>
      <c r="C60" s="27" t="s">
        <v>378</v>
      </c>
      <c r="D60" s="27" t="s">
        <v>1650</v>
      </c>
      <c r="E60" s="27" t="s">
        <v>1650</v>
      </c>
      <c r="F60" s="39">
        <v>116133121000</v>
      </c>
      <c r="G60" s="39">
        <v>17745785</v>
      </c>
      <c r="H60" s="40">
        <v>2022</v>
      </c>
      <c r="I60" s="39">
        <v>5253810</v>
      </c>
      <c r="J60" s="27" t="s">
        <v>194</v>
      </c>
      <c r="K60" s="41">
        <v>0.81112219042437406</v>
      </c>
      <c r="L60" s="39">
        <v>5253810</v>
      </c>
      <c r="M60" s="39">
        <v>17745785</v>
      </c>
      <c r="N60" s="41">
        <v>0.81112219042437406</v>
      </c>
      <c r="O60" s="39">
        <v>6065350.0591898933</v>
      </c>
      <c r="P60" s="39">
        <v>18992361</v>
      </c>
      <c r="Q60" s="41">
        <v>0.87495164094859323</v>
      </c>
      <c r="R60" s="39">
        <v>7340727.1054967372</v>
      </c>
      <c r="S60" s="39">
        <v>20376394</v>
      </c>
      <c r="T60" s="41">
        <v>0.98700393754409965</v>
      </c>
      <c r="U60" s="39">
        <v>8687240.900274748</v>
      </c>
      <c r="V60" s="39">
        <v>21305270</v>
      </c>
      <c r="W60" s="41">
        <v>1.1171254811956259</v>
      </c>
      <c r="X60" s="42">
        <v>0.27589999999999998</v>
      </c>
      <c r="Y60" s="42">
        <v>2.8799999999999999E-2</v>
      </c>
      <c r="Z60" s="42">
        <v>1.8100000000000002E-2</v>
      </c>
      <c r="AA60" s="42">
        <v>9.3200000000000005E-2</v>
      </c>
      <c r="AB60" s="42">
        <v>0.1109</v>
      </c>
      <c r="AC60" s="42">
        <v>8.3999999999999995E-3</v>
      </c>
      <c r="AD60" s="42">
        <v>7.3000000000000001E-3</v>
      </c>
      <c r="AE60" s="42">
        <v>0.28999999999999998</v>
      </c>
      <c r="AF60" s="42">
        <v>2.3199999999999998E-2</v>
      </c>
      <c r="AG60" s="42"/>
      <c r="AH60" s="42">
        <v>4.3E-3</v>
      </c>
      <c r="AI60" s="42">
        <v>6.7400000000000002E-2</v>
      </c>
      <c r="AJ60" s="42">
        <v>7.4800000000000005E-2</v>
      </c>
      <c r="AK60" s="39">
        <v>97508.160000000003</v>
      </c>
      <c r="AL60" s="39"/>
      <c r="AM60" s="39"/>
      <c r="AN60" s="39">
        <v>108000</v>
      </c>
      <c r="AO60" s="39">
        <v>14928</v>
      </c>
      <c r="AP60" s="39"/>
      <c r="AQ60" s="39"/>
      <c r="AR60" s="39"/>
      <c r="AS60" s="42">
        <v>0.42470694319206498</v>
      </c>
      <c r="AT60" s="42">
        <v>0.57529305680793497</v>
      </c>
      <c r="AU60" s="42">
        <v>0.54100000000000004</v>
      </c>
      <c r="AV60" s="42"/>
      <c r="AW60" s="42"/>
      <c r="AX60" s="42">
        <v>0.77</v>
      </c>
      <c r="AY60" s="42"/>
      <c r="AZ60" s="42">
        <v>0.80900000000000005</v>
      </c>
      <c r="BA60" s="42">
        <v>0.84199999999999997</v>
      </c>
      <c r="BB60" s="42"/>
      <c r="BC60" s="42"/>
      <c r="BD60" s="42">
        <v>0.73109999999999997</v>
      </c>
      <c r="BE60" s="42"/>
      <c r="BF60" s="42"/>
      <c r="BG60" s="42">
        <v>7.0900000000000005E-2</v>
      </c>
      <c r="BH60" s="42"/>
      <c r="BI60" s="42">
        <v>5.8999999999999999E-3</v>
      </c>
      <c r="BJ60" s="42">
        <v>1.1999999999999999E-3</v>
      </c>
      <c r="BK60" s="42"/>
      <c r="BL60" s="42"/>
      <c r="BM60" s="42"/>
      <c r="BN60" s="42"/>
      <c r="BO60" s="42">
        <v>0.191</v>
      </c>
      <c r="BP60" s="42"/>
      <c r="BQ60" s="42"/>
      <c r="BR60" s="42"/>
      <c r="BS60" s="42"/>
      <c r="BT60" s="42"/>
      <c r="BU60" s="42"/>
      <c r="BV60" s="42"/>
      <c r="BW60" s="39">
        <v>22000</v>
      </c>
      <c r="BX60" s="39"/>
      <c r="BY60" s="39">
        <v>20000</v>
      </c>
      <c r="BZ60" s="39"/>
      <c r="CA60" s="39"/>
      <c r="CB60" s="27" t="s">
        <v>96</v>
      </c>
      <c r="CC60" s="27" t="s">
        <v>96</v>
      </c>
      <c r="CD60" s="27"/>
      <c r="CE60" s="27" t="s">
        <v>379</v>
      </c>
      <c r="CF60" s="27"/>
      <c r="CG60" s="27" t="s">
        <v>96</v>
      </c>
      <c r="CH60" s="27"/>
      <c r="CI60" s="27"/>
      <c r="CJ60" s="27" t="s">
        <v>1565</v>
      </c>
      <c r="CK60" s="27"/>
      <c r="CL60" s="27" t="s">
        <v>96</v>
      </c>
      <c r="CM60" s="27" t="s">
        <v>380</v>
      </c>
      <c r="CN60" s="27" t="s">
        <v>95</v>
      </c>
      <c r="CO60" s="27"/>
      <c r="CP60" s="27" t="s">
        <v>96</v>
      </c>
      <c r="CQ60" s="27"/>
      <c r="CR60" s="43" t="s">
        <v>96</v>
      </c>
      <c r="CS60" s="43"/>
      <c r="CT60" s="43"/>
      <c r="CU60" s="43"/>
      <c r="CV60" s="43" t="s">
        <v>96</v>
      </c>
      <c r="CW60" s="43" t="s">
        <v>96</v>
      </c>
      <c r="CX60" s="43" t="s">
        <v>96</v>
      </c>
      <c r="CY60" s="43" t="s">
        <v>1723</v>
      </c>
      <c r="CZ60" s="43" t="s">
        <v>109</v>
      </c>
      <c r="DA60" s="43" t="s">
        <v>1470</v>
      </c>
      <c r="DB60" s="43" t="s">
        <v>96</v>
      </c>
      <c r="DC60" s="43" t="s">
        <v>168</v>
      </c>
      <c r="DD60" s="43" t="s">
        <v>1437</v>
      </c>
      <c r="DE60" s="43" t="s">
        <v>109</v>
      </c>
      <c r="DF60" s="43" t="s">
        <v>1470</v>
      </c>
    </row>
    <row r="61" spans="1:110" ht="14">
      <c r="A61" s="27" t="s">
        <v>381</v>
      </c>
      <c r="B61" t="s">
        <v>1715</v>
      </c>
      <c r="C61" s="27" t="s">
        <v>382</v>
      </c>
      <c r="D61" s="27" t="s">
        <v>1651</v>
      </c>
      <c r="E61" s="27" t="s">
        <v>1651</v>
      </c>
      <c r="F61" s="39">
        <v>424671765456</v>
      </c>
      <c r="G61" s="39">
        <v>110170651</v>
      </c>
      <c r="H61" s="40">
        <v>2021</v>
      </c>
      <c r="I61" s="39">
        <v>25840000</v>
      </c>
      <c r="J61" s="27" t="s">
        <v>94</v>
      </c>
      <c r="K61" s="41">
        <v>0.64258965437124638</v>
      </c>
      <c r="L61" s="39">
        <v>26957734.492613152</v>
      </c>
      <c r="M61" s="39">
        <v>111743365</v>
      </c>
      <c r="N61" s="41">
        <v>0.66095026607689089</v>
      </c>
      <c r="O61" s="39">
        <v>35470303.374756992</v>
      </c>
      <c r="P61" s="39">
        <v>126255950</v>
      </c>
      <c r="Q61" s="41">
        <v>0.76969769231072749</v>
      </c>
      <c r="R61" s="39">
        <v>48587288.393496409</v>
      </c>
      <c r="S61" s="39">
        <v>144307351</v>
      </c>
      <c r="T61" s="41">
        <v>0.9224468309470869</v>
      </c>
      <c r="U61" s="39">
        <v>61610200.340009414</v>
      </c>
      <c r="V61" s="39">
        <v>160903980</v>
      </c>
      <c r="W61" s="41">
        <v>1.0490422264550778</v>
      </c>
      <c r="X61" s="42">
        <v>0.56000000000000005</v>
      </c>
      <c r="Y61" s="42">
        <v>0.04</v>
      </c>
      <c r="Z61" s="42">
        <v>0.02</v>
      </c>
      <c r="AA61" s="42">
        <v>0.1</v>
      </c>
      <c r="AB61" s="42">
        <v>0.13</v>
      </c>
      <c r="AC61" s="42"/>
      <c r="AD61" s="42"/>
      <c r="AE61" s="42"/>
      <c r="AF61" s="42"/>
      <c r="AG61" s="42"/>
      <c r="AH61" s="42"/>
      <c r="AI61" s="42"/>
      <c r="AJ61" s="42">
        <v>0.15</v>
      </c>
      <c r="AK61" s="39"/>
      <c r="AL61" s="39">
        <v>52500000</v>
      </c>
      <c r="AM61" s="39">
        <v>36000000</v>
      </c>
      <c r="AN61" s="39">
        <v>692000</v>
      </c>
      <c r="AO61" s="39">
        <v>380000</v>
      </c>
      <c r="AP61" s="39">
        <v>5000000</v>
      </c>
      <c r="AQ61" s="39"/>
      <c r="AR61" s="39">
        <v>107310</v>
      </c>
      <c r="AS61" s="42"/>
      <c r="AT61" s="42"/>
      <c r="AU61" s="42"/>
      <c r="AV61" s="42">
        <v>0.15</v>
      </c>
      <c r="AW61" s="42"/>
      <c r="AX61" s="42"/>
      <c r="AY61" s="42">
        <v>0.57499999999999996</v>
      </c>
      <c r="AZ61" s="42">
        <v>0.65</v>
      </c>
      <c r="BA61" s="42"/>
      <c r="BB61" s="42"/>
      <c r="BC61" s="42"/>
      <c r="BD61" s="42">
        <v>0.38500000000000001</v>
      </c>
      <c r="BE61" s="42"/>
      <c r="BF61" s="42">
        <v>7.0000000000000007E-2</v>
      </c>
      <c r="BG61" s="42"/>
      <c r="BH61" s="42"/>
      <c r="BI61" s="42">
        <v>7.0000000000000007E-2</v>
      </c>
      <c r="BJ61" s="42">
        <v>0.125</v>
      </c>
      <c r="BK61" s="42"/>
      <c r="BL61" s="42"/>
      <c r="BM61" s="42"/>
      <c r="BN61" s="42"/>
      <c r="BO61" s="42">
        <v>0.35</v>
      </c>
      <c r="BP61" s="42"/>
      <c r="BQ61" s="42"/>
      <c r="BR61" s="42"/>
      <c r="BS61" s="42"/>
      <c r="BT61" s="42"/>
      <c r="BU61" s="42"/>
      <c r="BV61" s="42"/>
      <c r="BW61" s="39">
        <v>37237</v>
      </c>
      <c r="BX61" s="39">
        <v>6081</v>
      </c>
      <c r="BY61" s="39"/>
      <c r="BZ61" s="39"/>
      <c r="CA61" s="39"/>
      <c r="CB61" s="27" t="s">
        <v>96</v>
      </c>
      <c r="CC61" s="27" t="s">
        <v>96</v>
      </c>
      <c r="CD61" s="27" t="s">
        <v>95</v>
      </c>
      <c r="CE61" s="27" t="s">
        <v>383</v>
      </c>
      <c r="CF61" s="27" t="s">
        <v>96</v>
      </c>
      <c r="CG61" s="27" t="s">
        <v>96</v>
      </c>
      <c r="CH61" s="27" t="s">
        <v>95</v>
      </c>
      <c r="CI61" s="27" t="s">
        <v>384</v>
      </c>
      <c r="CJ61" s="27" t="s">
        <v>123</v>
      </c>
      <c r="CK61" s="27"/>
      <c r="CL61" s="27" t="s">
        <v>96</v>
      </c>
      <c r="CM61" s="27" t="s">
        <v>385</v>
      </c>
      <c r="CN61" s="27"/>
      <c r="CO61" s="27"/>
      <c r="CP61" s="27"/>
      <c r="CQ61" s="27"/>
      <c r="CR61" s="43" t="s">
        <v>96</v>
      </c>
      <c r="CS61" s="43"/>
      <c r="CT61" s="43" t="s">
        <v>96</v>
      </c>
      <c r="CU61" s="43"/>
      <c r="CV61" s="43" t="s">
        <v>96</v>
      </c>
      <c r="CW61" s="43"/>
      <c r="CX61" s="43"/>
      <c r="CY61" s="43" t="s">
        <v>1721</v>
      </c>
      <c r="CZ61" s="43" t="s">
        <v>109</v>
      </c>
      <c r="DA61" s="43" t="s">
        <v>1470</v>
      </c>
      <c r="DB61" s="43"/>
      <c r="DC61" s="43"/>
      <c r="DD61" s="43"/>
      <c r="DE61" s="43"/>
      <c r="DF61" s="43"/>
    </row>
    <row r="62" spans="1:110" ht="14">
      <c r="A62" s="27" t="s">
        <v>386</v>
      </c>
      <c r="B62" s="27" t="s">
        <v>1714</v>
      </c>
      <c r="C62" s="27" t="s">
        <v>387</v>
      </c>
      <c r="D62" s="27" t="s">
        <v>1651</v>
      </c>
      <c r="E62" s="27" t="s">
        <v>1650</v>
      </c>
      <c r="F62" s="39">
        <v>29043140000</v>
      </c>
      <c r="G62" s="39">
        <v>6246188</v>
      </c>
      <c r="H62" s="40">
        <v>2021</v>
      </c>
      <c r="I62" s="39">
        <v>1541847.04332028</v>
      </c>
      <c r="J62" s="27" t="s">
        <v>94</v>
      </c>
      <c r="K62" s="41">
        <v>0.67629063916265131</v>
      </c>
      <c r="L62" s="39">
        <v>1572086.5601522648</v>
      </c>
      <c r="M62" s="39">
        <v>6265375</v>
      </c>
      <c r="N62" s="41">
        <v>0.68744272548260699</v>
      </c>
      <c r="O62" s="39">
        <v>1841099.0770987968</v>
      </c>
      <c r="P62" s="39">
        <v>6475944</v>
      </c>
      <c r="Q62" s="41">
        <v>0.77889911656812483</v>
      </c>
      <c r="R62" s="39">
        <v>2214392.9317164919</v>
      </c>
      <c r="S62" s="39">
        <v>6636110</v>
      </c>
      <c r="T62" s="41">
        <v>0.91421479600371247</v>
      </c>
      <c r="U62" s="39">
        <v>2633185.7100935387</v>
      </c>
      <c r="V62" s="39">
        <v>6664999</v>
      </c>
      <c r="W62" s="41">
        <v>1.0824018765664938</v>
      </c>
      <c r="X62" s="42">
        <v>0.39290000000000003</v>
      </c>
      <c r="Y62" s="42">
        <v>2.3800000000000002E-2</v>
      </c>
      <c r="Z62" s="42">
        <v>1.18E-2</v>
      </c>
      <c r="AA62" s="42">
        <v>8.5800000000000001E-2</v>
      </c>
      <c r="AB62" s="42">
        <v>0.25740000000000002</v>
      </c>
      <c r="AC62" s="42">
        <v>9.2999999999999992E-3</v>
      </c>
      <c r="AD62" s="42">
        <v>1.8E-3</v>
      </c>
      <c r="AE62" s="42"/>
      <c r="AF62" s="42">
        <v>4.9500000000000002E-2</v>
      </c>
      <c r="AG62" s="42"/>
      <c r="AH62" s="42"/>
      <c r="AI62" s="42">
        <v>9.8599999999999993E-2</v>
      </c>
      <c r="AJ62" s="42">
        <v>6.9099999999999995E-2</v>
      </c>
      <c r="AK62" s="39"/>
      <c r="AL62" s="39"/>
      <c r="AM62" s="39"/>
      <c r="AN62" s="39">
        <v>41000</v>
      </c>
      <c r="AO62" s="39">
        <v>1428520</v>
      </c>
      <c r="AP62" s="39"/>
      <c r="AQ62" s="39"/>
      <c r="AR62" s="39">
        <v>3016.29</v>
      </c>
      <c r="AS62" s="42"/>
      <c r="AT62" s="42"/>
      <c r="AU62" s="42">
        <v>0.13900000000000001</v>
      </c>
      <c r="AV62" s="42"/>
      <c r="AW62" s="42"/>
      <c r="AX62" s="42">
        <v>0.56799999999999995</v>
      </c>
      <c r="AY62" s="42">
        <v>0.78800000000000003</v>
      </c>
      <c r="AZ62" s="42">
        <v>0.71</v>
      </c>
      <c r="BA62" s="42">
        <v>0.77</v>
      </c>
      <c r="BB62" s="42"/>
      <c r="BC62" s="42">
        <v>0.81540000000000001</v>
      </c>
      <c r="BD62" s="42"/>
      <c r="BE62" s="42"/>
      <c r="BF62" s="42"/>
      <c r="BG62" s="42">
        <v>0.71379999999999999</v>
      </c>
      <c r="BH62" s="42"/>
      <c r="BI62" s="42">
        <v>6.4999999999999997E-3</v>
      </c>
      <c r="BJ62" s="42"/>
      <c r="BK62" s="42"/>
      <c r="BL62" s="42"/>
      <c r="BM62" s="42"/>
      <c r="BN62" s="42"/>
      <c r="BO62" s="42">
        <v>0.27960000000000002</v>
      </c>
      <c r="BP62" s="42"/>
      <c r="BQ62" s="42">
        <v>0.10386473429951699</v>
      </c>
      <c r="BR62" s="42">
        <v>0.835748792270531</v>
      </c>
      <c r="BS62" s="42">
        <v>6.0386473429951702E-2</v>
      </c>
      <c r="BT62" s="42"/>
      <c r="BU62" s="42"/>
      <c r="BV62" s="42"/>
      <c r="BW62" s="39"/>
      <c r="BX62" s="39"/>
      <c r="BY62" s="39">
        <v>7605</v>
      </c>
      <c r="BZ62" s="39">
        <v>1391</v>
      </c>
      <c r="CA62" s="39"/>
      <c r="CB62" s="27" t="s">
        <v>96</v>
      </c>
      <c r="CC62" s="27"/>
      <c r="CD62" s="27" t="s">
        <v>96</v>
      </c>
      <c r="CE62" s="27" t="s">
        <v>388</v>
      </c>
      <c r="CF62" s="27" t="s">
        <v>96</v>
      </c>
      <c r="CG62" s="27" t="s">
        <v>96</v>
      </c>
      <c r="CH62" s="27" t="s">
        <v>96</v>
      </c>
      <c r="CI62" s="27"/>
      <c r="CJ62" s="27" t="s">
        <v>1606</v>
      </c>
      <c r="CK62" s="27"/>
      <c r="CL62" s="27"/>
      <c r="CM62" s="27"/>
      <c r="CN62" s="27" t="s">
        <v>95</v>
      </c>
      <c r="CO62" s="27"/>
      <c r="CP62" s="27"/>
      <c r="CQ62" s="27"/>
      <c r="CR62" s="43" t="s">
        <v>96</v>
      </c>
      <c r="CS62" s="43"/>
      <c r="CT62" s="43"/>
      <c r="CU62" s="43"/>
      <c r="CV62" s="43"/>
      <c r="CW62" s="43"/>
      <c r="CX62" s="43" t="s">
        <v>96</v>
      </c>
      <c r="CY62" s="43" t="s">
        <v>106</v>
      </c>
      <c r="CZ62" s="43" t="s">
        <v>198</v>
      </c>
      <c r="DA62" s="43" t="s">
        <v>197</v>
      </c>
      <c r="DB62" s="43"/>
      <c r="DC62" s="43"/>
      <c r="DD62" s="43"/>
      <c r="DE62" s="43"/>
      <c r="DF62" s="43"/>
    </row>
    <row r="63" spans="1:110" ht="14">
      <c r="A63" s="27" t="s">
        <v>389</v>
      </c>
      <c r="B63" s="33" t="s">
        <v>1693</v>
      </c>
      <c r="C63" s="27" t="s">
        <v>390</v>
      </c>
      <c r="D63" s="27" t="s">
        <v>1650</v>
      </c>
      <c r="E63" s="27" t="s">
        <v>1650</v>
      </c>
      <c r="F63" s="39">
        <v>11240808847.889999</v>
      </c>
      <c r="G63" s="39">
        <v>1481045</v>
      </c>
      <c r="H63" s="40">
        <v>2016</v>
      </c>
      <c r="I63" s="39">
        <v>198443</v>
      </c>
      <c r="J63" s="27" t="s">
        <v>94</v>
      </c>
      <c r="K63" s="41">
        <v>0.36709178455401054</v>
      </c>
      <c r="L63" s="39">
        <v>198323.67178298993</v>
      </c>
      <c r="M63" s="39">
        <v>1781610</v>
      </c>
      <c r="N63" s="41">
        <v>0.30497837654304205</v>
      </c>
      <c r="O63" s="39">
        <v>195784.7981197513</v>
      </c>
      <c r="P63" s="39">
        <v>2146899</v>
      </c>
      <c r="Q63" s="41">
        <v>0.24984720155787526</v>
      </c>
      <c r="R63" s="39">
        <v>264437.15610198933</v>
      </c>
      <c r="S63" s="39">
        <v>2640231</v>
      </c>
      <c r="T63" s="41">
        <v>0.27440226222006042</v>
      </c>
      <c r="U63" s="39">
        <v>354755.81121200998</v>
      </c>
      <c r="V63" s="39">
        <v>3120671</v>
      </c>
      <c r="W63" s="41">
        <v>0.31145023917868064</v>
      </c>
      <c r="X63" s="42"/>
      <c r="Y63" s="42"/>
      <c r="Z63" s="42"/>
      <c r="AA63" s="42"/>
      <c r="AB63" s="42"/>
      <c r="AC63" s="42"/>
      <c r="AD63" s="42"/>
      <c r="AE63" s="42"/>
      <c r="AF63" s="42"/>
      <c r="AG63" s="42"/>
      <c r="AH63" s="42"/>
      <c r="AI63" s="42"/>
      <c r="AJ63" s="42"/>
      <c r="AK63" s="39"/>
      <c r="AL63" s="39"/>
      <c r="AM63" s="39"/>
      <c r="AN63" s="39">
        <v>18000</v>
      </c>
      <c r="AO63" s="39"/>
      <c r="AP63" s="39"/>
      <c r="AQ63" s="39"/>
      <c r="AR63" s="39"/>
      <c r="AS63" s="42"/>
      <c r="AT63" s="42"/>
      <c r="AU63" s="42"/>
      <c r="AV63" s="42"/>
      <c r="AW63" s="42"/>
      <c r="AX63" s="42"/>
      <c r="AY63" s="42"/>
      <c r="AZ63" s="42"/>
      <c r="BA63" s="42"/>
      <c r="BB63" s="42"/>
      <c r="BC63" s="42"/>
      <c r="BD63" s="42"/>
      <c r="BE63" s="42"/>
      <c r="BF63" s="42"/>
      <c r="BG63" s="42"/>
      <c r="BH63" s="42"/>
      <c r="BI63" s="42"/>
      <c r="BJ63" s="42"/>
      <c r="BK63" s="42"/>
      <c r="BL63" s="42"/>
      <c r="BM63" s="42"/>
      <c r="BN63" s="42"/>
      <c r="BO63" s="42"/>
      <c r="BP63" s="42"/>
      <c r="BQ63" s="42"/>
      <c r="BR63" s="42"/>
      <c r="BS63" s="42"/>
      <c r="BT63" s="42"/>
      <c r="BU63" s="42"/>
      <c r="BV63" s="42"/>
      <c r="BW63" s="39"/>
      <c r="BX63" s="39"/>
      <c r="BY63" s="39"/>
      <c r="BZ63" s="39"/>
      <c r="CA63" s="39"/>
      <c r="CB63" s="27" t="s">
        <v>95</v>
      </c>
      <c r="CC63" s="27" t="s">
        <v>95</v>
      </c>
      <c r="CD63" s="27" t="s">
        <v>95</v>
      </c>
      <c r="CE63" s="27" t="s">
        <v>391</v>
      </c>
      <c r="CF63" s="27"/>
      <c r="CG63" s="27" t="s">
        <v>95</v>
      </c>
      <c r="CH63" s="27" t="s">
        <v>95</v>
      </c>
      <c r="CI63" s="27" t="s">
        <v>95</v>
      </c>
      <c r="CJ63" s="27" t="s">
        <v>123</v>
      </c>
      <c r="CK63" s="27" t="s">
        <v>95</v>
      </c>
      <c r="CL63" s="27" t="s">
        <v>95</v>
      </c>
      <c r="CM63" s="43" t="s">
        <v>392</v>
      </c>
      <c r="CN63" s="27" t="s">
        <v>95</v>
      </c>
      <c r="CO63" s="27"/>
      <c r="CP63" s="27" t="s">
        <v>95</v>
      </c>
      <c r="CQ63" s="27"/>
      <c r="CR63" s="43"/>
      <c r="CS63" s="43"/>
      <c r="CT63" s="43"/>
      <c r="CU63" s="43"/>
      <c r="CV63" s="43"/>
      <c r="CW63" s="43"/>
      <c r="CX63" s="43"/>
      <c r="CY63" s="43"/>
      <c r="CZ63" s="43"/>
      <c r="DA63" s="43"/>
      <c r="DB63" s="43"/>
      <c r="DC63" s="43"/>
      <c r="DD63" s="43"/>
      <c r="DE63" s="43"/>
      <c r="DF63" s="43"/>
    </row>
    <row r="64" spans="1:110" ht="14">
      <c r="A64" s="27" t="s">
        <v>393</v>
      </c>
      <c r="B64" s="33" t="s">
        <v>1693</v>
      </c>
      <c r="C64" s="27" t="s">
        <v>394</v>
      </c>
      <c r="D64" s="27"/>
      <c r="E64" s="27" t="s">
        <v>93</v>
      </c>
      <c r="F64" s="39"/>
      <c r="G64" s="39">
        <v>3379895</v>
      </c>
      <c r="H64" s="40" t="s">
        <v>123</v>
      </c>
      <c r="I64" s="39" t="s">
        <v>1620</v>
      </c>
      <c r="J64" s="27"/>
      <c r="K64" s="39" t="s">
        <v>1620</v>
      </c>
      <c r="L64" s="39">
        <v>219099.42547514275</v>
      </c>
      <c r="M64" s="39">
        <v>3379895</v>
      </c>
      <c r="N64" s="41">
        <v>0.17760090137771586</v>
      </c>
      <c r="O64" s="39">
        <v>278247.37754130963</v>
      </c>
      <c r="P64" s="39">
        <v>3960648</v>
      </c>
      <c r="Q64" s="41">
        <v>0.19247395433902684</v>
      </c>
      <c r="R64" s="39">
        <v>371118.99660001218</v>
      </c>
      <c r="S64" s="39">
        <v>4824384</v>
      </c>
      <c r="T64" s="41">
        <v>0.21075527450688189</v>
      </c>
      <c r="U64" s="39">
        <v>472175.15030366566</v>
      </c>
      <c r="V64" s="39">
        <v>5656427</v>
      </c>
      <c r="W64" s="41">
        <v>0.22870100662081666</v>
      </c>
      <c r="X64" s="42"/>
      <c r="Y64" s="42"/>
      <c r="Z64" s="42"/>
      <c r="AA64" s="42"/>
      <c r="AB64" s="42"/>
      <c r="AC64" s="42"/>
      <c r="AD64" s="42"/>
      <c r="AE64" s="42"/>
      <c r="AF64" s="42"/>
      <c r="AG64" s="42"/>
      <c r="AH64" s="42"/>
      <c r="AI64" s="42"/>
      <c r="AJ64" s="42"/>
      <c r="AK64" s="39"/>
      <c r="AL64" s="39"/>
      <c r="AM64" s="39"/>
      <c r="AN64" s="39">
        <v>3000</v>
      </c>
      <c r="AO64" s="39"/>
      <c r="AP64" s="39"/>
      <c r="AQ64" s="39"/>
      <c r="AR64" s="39"/>
      <c r="AS64" s="42"/>
      <c r="AT64" s="42"/>
      <c r="AU64" s="42"/>
      <c r="AV64" s="42"/>
      <c r="AW64" s="42"/>
      <c r="AX64" s="42"/>
      <c r="AY64" s="42"/>
      <c r="AZ64" s="42"/>
      <c r="BA64" s="42"/>
      <c r="BB64" s="42"/>
      <c r="BC64" s="42"/>
      <c r="BD64" s="42"/>
      <c r="BE64" s="42"/>
      <c r="BF64" s="42"/>
      <c r="BG64" s="42"/>
      <c r="BH64" s="42"/>
      <c r="BI64" s="42"/>
      <c r="BJ64" s="42"/>
      <c r="BK64" s="42"/>
      <c r="BL64" s="42"/>
      <c r="BM64" s="42"/>
      <c r="BN64" s="42"/>
      <c r="BO64" s="42"/>
      <c r="BP64" s="42"/>
      <c r="BQ64" s="42"/>
      <c r="BR64" s="42"/>
      <c r="BS64" s="42"/>
      <c r="BT64" s="42"/>
      <c r="BU64" s="42"/>
      <c r="BV64" s="42"/>
      <c r="BW64" s="39"/>
      <c r="BX64" s="39"/>
      <c r="BY64" s="39"/>
      <c r="BZ64" s="39"/>
      <c r="CA64" s="39"/>
      <c r="CB64" s="27" t="s">
        <v>95</v>
      </c>
      <c r="CC64" s="27" t="s">
        <v>96</v>
      </c>
      <c r="CD64" s="27" t="s">
        <v>96</v>
      </c>
      <c r="CE64" s="27" t="s">
        <v>395</v>
      </c>
      <c r="CF64" s="27" t="s">
        <v>96</v>
      </c>
      <c r="CG64" s="27" t="s">
        <v>95</v>
      </c>
      <c r="CH64" s="27" t="s">
        <v>95</v>
      </c>
      <c r="CI64" s="27" t="s">
        <v>396</v>
      </c>
      <c r="CJ64" s="27" t="s">
        <v>1635</v>
      </c>
      <c r="CK64" s="27" t="s">
        <v>95</v>
      </c>
      <c r="CL64" s="27" t="s">
        <v>96</v>
      </c>
      <c r="CM64" s="27" t="s">
        <v>397</v>
      </c>
      <c r="CN64" s="27" t="s">
        <v>95</v>
      </c>
      <c r="CO64" s="27"/>
      <c r="CP64" s="27" t="s">
        <v>95</v>
      </c>
      <c r="CQ64" s="27"/>
      <c r="CR64" s="43"/>
      <c r="CS64" s="43"/>
      <c r="CT64" s="43"/>
      <c r="CU64" s="43"/>
      <c r="CV64" s="43"/>
      <c r="CW64" s="43"/>
      <c r="CX64" s="43"/>
      <c r="CY64" s="43"/>
      <c r="CZ64" s="43"/>
      <c r="DA64" s="43"/>
      <c r="DB64" s="43"/>
      <c r="DC64" s="43"/>
      <c r="DD64" s="43"/>
      <c r="DE64" s="43"/>
      <c r="DF64" s="43"/>
    </row>
    <row r="65" spans="1:110" ht="14">
      <c r="A65" s="27" t="s">
        <v>398</v>
      </c>
      <c r="B65" s="27" t="s">
        <v>1713</v>
      </c>
      <c r="C65" s="27" t="s">
        <v>399</v>
      </c>
      <c r="D65" s="27" t="s">
        <v>122</v>
      </c>
      <c r="E65" s="27" t="s">
        <v>122</v>
      </c>
      <c r="F65" s="39">
        <v>38376046175</v>
      </c>
      <c r="G65" s="39">
        <v>1333017</v>
      </c>
      <c r="H65" s="40">
        <v>2022</v>
      </c>
      <c r="I65" s="39">
        <v>495000</v>
      </c>
      <c r="J65" s="27" t="s">
        <v>94</v>
      </c>
      <c r="K65" s="41">
        <v>1.0173646574362096</v>
      </c>
      <c r="L65" s="39">
        <v>495000</v>
      </c>
      <c r="M65" s="39">
        <v>1333017</v>
      </c>
      <c r="N65" s="41">
        <v>1.0173646574362096</v>
      </c>
      <c r="O65" s="39">
        <v>513187.86897971429</v>
      </c>
      <c r="P65" s="39">
        <v>1306302</v>
      </c>
      <c r="Q65" s="41">
        <v>1.0763163201068806</v>
      </c>
      <c r="R65" s="39">
        <v>516309.91649839492</v>
      </c>
      <c r="S65" s="39">
        <v>1239803</v>
      </c>
      <c r="T65" s="41">
        <v>1.1409455505705008</v>
      </c>
      <c r="U65" s="39">
        <v>503331.21313598129</v>
      </c>
      <c r="V65" s="39">
        <v>1177624</v>
      </c>
      <c r="W65" s="41">
        <v>1.1709931396015076</v>
      </c>
      <c r="X65" s="42">
        <v>0.32</v>
      </c>
      <c r="Y65" s="42">
        <v>0.06</v>
      </c>
      <c r="Z65" s="42">
        <v>0.02</v>
      </c>
      <c r="AA65" s="42">
        <v>0.17</v>
      </c>
      <c r="AB65" s="42">
        <v>0.18</v>
      </c>
      <c r="AC65" s="42"/>
      <c r="AD65" s="42">
        <v>0.01</v>
      </c>
      <c r="AE65" s="42"/>
      <c r="AF65" s="42">
        <v>0.06</v>
      </c>
      <c r="AG65" s="42"/>
      <c r="AH65" s="42"/>
      <c r="AI65" s="42"/>
      <c r="AJ65" s="42">
        <v>0.18</v>
      </c>
      <c r="AK65" s="39"/>
      <c r="AL65" s="39">
        <v>195258</v>
      </c>
      <c r="AM65" s="39">
        <v>1587266</v>
      </c>
      <c r="AN65" s="39">
        <v>17721</v>
      </c>
      <c r="AO65" s="39">
        <v>1565545</v>
      </c>
      <c r="AP65" s="39">
        <v>3974692</v>
      </c>
      <c r="AQ65" s="39">
        <v>2454865</v>
      </c>
      <c r="AR65" s="39">
        <v>2227</v>
      </c>
      <c r="AS65" s="42"/>
      <c r="AT65" s="42"/>
      <c r="AU65" s="42"/>
      <c r="AV65" s="42"/>
      <c r="AW65" s="42"/>
      <c r="AX65" s="42"/>
      <c r="AY65" s="42"/>
      <c r="AZ65" s="42"/>
      <c r="BA65" s="42"/>
      <c r="BB65" s="42"/>
      <c r="BC65" s="42"/>
      <c r="BD65" s="42"/>
      <c r="BE65" s="42"/>
      <c r="BF65" s="42"/>
      <c r="BG65" s="42">
        <v>0.14864864864864899</v>
      </c>
      <c r="BH65" s="42"/>
      <c r="BI65" s="42">
        <v>4.5045045045045001E-2</v>
      </c>
      <c r="BJ65" s="42">
        <v>0.32882882882882902</v>
      </c>
      <c r="BK65" s="42">
        <v>0.47747747747747699</v>
      </c>
      <c r="BL65" s="42"/>
      <c r="BM65" s="42"/>
      <c r="BN65" s="42"/>
      <c r="BO65" s="42"/>
      <c r="BP65" s="42"/>
      <c r="BQ65" s="42"/>
      <c r="BR65" s="42"/>
      <c r="BS65" s="42"/>
      <c r="BT65" s="42"/>
      <c r="BU65" s="42"/>
      <c r="BV65" s="42"/>
      <c r="BW65" s="39">
        <v>2325</v>
      </c>
      <c r="BX65" s="39"/>
      <c r="BY65" s="39"/>
      <c r="BZ65" s="39"/>
      <c r="CA65" s="39"/>
      <c r="CB65" s="27" t="s">
        <v>96</v>
      </c>
      <c r="CC65" s="27" t="s">
        <v>95</v>
      </c>
      <c r="CD65" s="27" t="s">
        <v>96</v>
      </c>
      <c r="CE65" s="27" t="s">
        <v>400</v>
      </c>
      <c r="CF65" s="27" t="s">
        <v>96</v>
      </c>
      <c r="CG65" s="27" t="s">
        <v>96</v>
      </c>
      <c r="CH65" s="27" t="s">
        <v>96</v>
      </c>
      <c r="CI65" s="27" t="s">
        <v>172</v>
      </c>
      <c r="CJ65" s="27" t="s">
        <v>1566</v>
      </c>
      <c r="CK65" s="27"/>
      <c r="CL65" s="27" t="s">
        <v>96</v>
      </c>
      <c r="CM65" s="27" t="s">
        <v>401</v>
      </c>
      <c r="CN65" s="27" t="s">
        <v>96</v>
      </c>
      <c r="CO65" s="27"/>
      <c r="CP65" s="27" t="s">
        <v>96</v>
      </c>
      <c r="CQ65" s="27"/>
      <c r="CR65" s="43" t="s">
        <v>96</v>
      </c>
      <c r="CS65" s="43" t="s">
        <v>96</v>
      </c>
      <c r="CT65" s="43"/>
      <c r="CU65" s="43" t="s">
        <v>96</v>
      </c>
      <c r="CV65" s="43" t="s">
        <v>96</v>
      </c>
      <c r="CW65" s="43" t="s">
        <v>96</v>
      </c>
      <c r="CX65" s="43" t="s">
        <v>96</v>
      </c>
      <c r="CY65" s="43" t="s">
        <v>1723</v>
      </c>
      <c r="CZ65" s="43" t="s">
        <v>109</v>
      </c>
      <c r="DA65" s="43" t="s">
        <v>1470</v>
      </c>
      <c r="DB65" s="43" t="s">
        <v>96</v>
      </c>
      <c r="DC65" s="43" t="s">
        <v>168</v>
      </c>
      <c r="DD65" s="43" t="s">
        <v>1472</v>
      </c>
      <c r="DE65" s="43" t="s">
        <v>109</v>
      </c>
      <c r="DF65" s="43" t="s">
        <v>1470</v>
      </c>
    </row>
    <row r="66" spans="1:110" ht="14">
      <c r="A66" s="27" t="s">
        <v>402</v>
      </c>
      <c r="B66" s="33" t="s">
        <v>1693</v>
      </c>
      <c r="C66" s="27" t="s">
        <v>403</v>
      </c>
      <c r="D66" s="27" t="s">
        <v>1651</v>
      </c>
      <c r="E66" s="27" t="s">
        <v>1651</v>
      </c>
      <c r="F66" s="39">
        <v>4463673661</v>
      </c>
      <c r="G66" s="39">
        <v>1152879</v>
      </c>
      <c r="H66" s="40">
        <v>2017</v>
      </c>
      <c r="I66" s="39">
        <v>238341</v>
      </c>
      <c r="J66" s="27" t="s">
        <v>94</v>
      </c>
      <c r="K66" s="41">
        <v>0.56639859091534361</v>
      </c>
      <c r="L66" s="39">
        <v>268654.4368498986</v>
      </c>
      <c r="M66" s="39">
        <v>1213127</v>
      </c>
      <c r="N66" s="41">
        <v>0.60672918252863939</v>
      </c>
      <c r="O66" s="39">
        <v>333727.96384886134</v>
      </c>
      <c r="P66" s="39">
        <v>1314502</v>
      </c>
      <c r="Q66" s="41">
        <v>0.69556622099244991</v>
      </c>
      <c r="R66" s="39">
        <v>426700.55323688139</v>
      </c>
      <c r="S66" s="39">
        <v>1425299</v>
      </c>
      <c r="T66" s="41">
        <v>0.82020868014914361</v>
      </c>
      <c r="U66" s="39">
        <v>525040.23068940896</v>
      </c>
      <c r="V66" s="39">
        <v>1502628</v>
      </c>
      <c r="W66" s="41">
        <v>0.95730039999949124</v>
      </c>
      <c r="X66" s="42">
        <v>0.52500000000000002</v>
      </c>
      <c r="Y66" s="42"/>
      <c r="Z66" s="42"/>
      <c r="AA66" s="42"/>
      <c r="AB66" s="42"/>
      <c r="AC66" s="42"/>
      <c r="AD66" s="42"/>
      <c r="AE66" s="42"/>
      <c r="AF66" s="42"/>
      <c r="AG66" s="42"/>
      <c r="AH66" s="42"/>
      <c r="AI66" s="42"/>
      <c r="AJ66" s="42">
        <v>0.47499999999999998</v>
      </c>
      <c r="AK66" s="39"/>
      <c r="AL66" s="39"/>
      <c r="AM66" s="39"/>
      <c r="AN66" s="39">
        <v>7000</v>
      </c>
      <c r="AO66" s="39"/>
      <c r="AP66" s="39"/>
      <c r="AQ66" s="39"/>
      <c r="AR66" s="39"/>
      <c r="AS66" s="42"/>
      <c r="AT66" s="42"/>
      <c r="AU66" s="42"/>
      <c r="AV66" s="42"/>
      <c r="AW66" s="42"/>
      <c r="AX66" s="42"/>
      <c r="AY66" s="42"/>
      <c r="AZ66" s="42">
        <v>0.46</v>
      </c>
      <c r="BA66" s="42"/>
      <c r="BB66" s="42"/>
      <c r="BC66" s="42"/>
      <c r="BD66" s="42"/>
      <c r="BE66" s="42"/>
      <c r="BF66" s="42"/>
      <c r="BG66" s="42">
        <v>0.25947277220453002</v>
      </c>
      <c r="BH66" s="42"/>
      <c r="BI66" s="42"/>
      <c r="BJ66" s="42">
        <v>0.29405767366923902</v>
      </c>
      <c r="BK66" s="42"/>
      <c r="BL66" s="42"/>
      <c r="BM66" s="42"/>
      <c r="BN66" s="42"/>
      <c r="BO66" s="27"/>
      <c r="BP66" s="42">
        <v>0.44646955412623102</v>
      </c>
      <c r="BQ66" s="42">
        <v>0.105</v>
      </c>
      <c r="BR66" s="42">
        <v>0.53500000000000003</v>
      </c>
      <c r="BS66" s="42"/>
      <c r="BT66" s="42"/>
      <c r="BU66" s="42">
        <v>0.36</v>
      </c>
      <c r="BV66" s="42"/>
      <c r="BW66" s="39"/>
      <c r="BX66" s="39"/>
      <c r="BY66" s="39"/>
      <c r="BZ66" s="39"/>
      <c r="CA66" s="39"/>
      <c r="CB66" s="27" t="s">
        <v>96</v>
      </c>
      <c r="CC66" s="27" t="s">
        <v>96</v>
      </c>
      <c r="CD66" s="27" t="s">
        <v>96</v>
      </c>
      <c r="CE66" s="27" t="s">
        <v>404</v>
      </c>
      <c r="CF66" s="27" t="s">
        <v>96</v>
      </c>
      <c r="CG66" s="27" t="s">
        <v>96</v>
      </c>
      <c r="CH66" s="27" t="s">
        <v>95</v>
      </c>
      <c r="CI66" s="27" t="s">
        <v>95</v>
      </c>
      <c r="CJ66" s="27" t="s">
        <v>123</v>
      </c>
      <c r="CK66" s="27" t="s">
        <v>95</v>
      </c>
      <c r="CL66" s="27"/>
      <c r="CM66" s="27"/>
      <c r="CN66" s="27" t="s">
        <v>95</v>
      </c>
      <c r="CO66" s="27"/>
      <c r="CP66" s="27"/>
      <c r="CQ66" s="27"/>
      <c r="CR66" s="43" t="s">
        <v>96</v>
      </c>
      <c r="CS66" s="43"/>
      <c r="CT66" s="43"/>
      <c r="CU66" s="43"/>
      <c r="CV66" s="43"/>
      <c r="CW66" s="43"/>
      <c r="CX66" s="43" t="s">
        <v>96</v>
      </c>
      <c r="CY66" s="43" t="s">
        <v>1723</v>
      </c>
      <c r="CZ66" s="43" t="s">
        <v>148</v>
      </c>
      <c r="DA66" s="43" t="s">
        <v>107</v>
      </c>
      <c r="DB66" s="43"/>
      <c r="DC66" s="43"/>
      <c r="DD66" s="43"/>
      <c r="DE66" s="43"/>
      <c r="DF66" s="43"/>
    </row>
    <row r="67" spans="1:110" ht="14">
      <c r="A67" s="27" t="s">
        <v>405</v>
      </c>
      <c r="B67" s="33" t="s">
        <v>1693</v>
      </c>
      <c r="C67" s="27" t="s">
        <v>406</v>
      </c>
      <c r="D67" s="27" t="s">
        <v>93</v>
      </c>
      <c r="E67" s="27" t="s">
        <v>93</v>
      </c>
      <c r="F67" s="39">
        <v>107657732424</v>
      </c>
      <c r="G67" s="39">
        <v>117298379</v>
      </c>
      <c r="H67" s="40">
        <v>2020</v>
      </c>
      <c r="I67" s="39">
        <v>4453000</v>
      </c>
      <c r="J67" s="27" t="s">
        <v>94</v>
      </c>
      <c r="K67" s="41">
        <v>0.10400825743721488</v>
      </c>
      <c r="L67" s="39">
        <v>4936315.906164798</v>
      </c>
      <c r="M67" s="39">
        <v>123740213</v>
      </c>
      <c r="N67" s="41">
        <v>0.10929472998058269</v>
      </c>
      <c r="O67" s="39">
        <v>6208371.8244098593</v>
      </c>
      <c r="P67" s="39">
        <v>151094414</v>
      </c>
      <c r="Q67" s="41">
        <v>0.11257357188000018</v>
      </c>
      <c r="R67" s="39">
        <v>7899021.0570017891</v>
      </c>
      <c r="S67" s="39">
        <v>186640864</v>
      </c>
      <c r="T67" s="41">
        <v>0.11595077903640019</v>
      </c>
      <c r="U67" s="39">
        <v>9729919.3711418584</v>
      </c>
      <c r="V67" s="39">
        <v>223205803</v>
      </c>
      <c r="W67" s="41">
        <v>0.11942930240749221</v>
      </c>
      <c r="X67" s="42">
        <v>0.7</v>
      </c>
      <c r="Y67" s="42">
        <v>0.03</v>
      </c>
      <c r="Z67" s="42"/>
      <c r="AA67" s="42">
        <v>0.06</v>
      </c>
      <c r="AB67" s="42">
        <v>0.08</v>
      </c>
      <c r="AC67" s="42"/>
      <c r="AD67" s="42"/>
      <c r="AE67" s="42"/>
      <c r="AF67" s="42">
        <v>7.0000000000000007E-2</v>
      </c>
      <c r="AG67" s="42"/>
      <c r="AH67" s="42"/>
      <c r="AI67" s="42"/>
      <c r="AJ67" s="42">
        <v>0.06</v>
      </c>
      <c r="AK67" s="39"/>
      <c r="AL67" s="39"/>
      <c r="AM67" s="39"/>
      <c r="AN67" s="39">
        <v>88000</v>
      </c>
      <c r="AO67" s="39"/>
      <c r="AP67" s="39"/>
      <c r="AQ67" s="39"/>
      <c r="AR67" s="39"/>
      <c r="AS67" s="42"/>
      <c r="AT67" s="42"/>
      <c r="AU67" s="42"/>
      <c r="AV67" s="42"/>
      <c r="AW67" s="42"/>
      <c r="AX67" s="42"/>
      <c r="AY67" s="42"/>
      <c r="AZ67" s="42">
        <v>0.4</v>
      </c>
      <c r="BA67" s="42"/>
      <c r="BB67" s="42"/>
      <c r="BC67" s="42">
        <v>0.5</v>
      </c>
      <c r="BD67" s="42"/>
      <c r="BE67" s="42"/>
      <c r="BF67" s="42"/>
      <c r="BG67" s="42">
        <v>0.34364483800335011</v>
      </c>
      <c r="BH67" s="42"/>
      <c r="BI67" s="42"/>
      <c r="BJ67" s="42">
        <v>3.8182759778150013E-2</v>
      </c>
      <c r="BK67" s="42">
        <v>1.8172402218499879E-2</v>
      </c>
      <c r="BL67" s="42"/>
      <c r="BM67" s="42"/>
      <c r="BN67" s="42"/>
      <c r="BO67" s="42">
        <v>0.6</v>
      </c>
      <c r="BP67" s="42"/>
      <c r="BQ67" s="42">
        <v>0.36149068322981398</v>
      </c>
      <c r="BR67" s="42">
        <v>0.14285714285714299</v>
      </c>
      <c r="BS67" s="42">
        <v>9.4635798983625105E-2</v>
      </c>
      <c r="BT67" s="42"/>
      <c r="BU67" s="42">
        <v>0.39548277809147397</v>
      </c>
      <c r="BV67" s="42">
        <v>5.5335968379446598E-3</v>
      </c>
      <c r="BW67" s="39">
        <v>66120</v>
      </c>
      <c r="BX67" s="39">
        <v>46429</v>
      </c>
      <c r="BY67" s="39">
        <v>100000</v>
      </c>
      <c r="BZ67" s="39"/>
      <c r="CA67" s="39"/>
      <c r="CB67" s="27" t="s">
        <v>95</v>
      </c>
      <c r="CC67" s="27" t="s">
        <v>96</v>
      </c>
      <c r="CD67" s="27" t="s">
        <v>96</v>
      </c>
      <c r="CE67" s="27" t="s">
        <v>407</v>
      </c>
      <c r="CF67" s="27" t="s">
        <v>96</v>
      </c>
      <c r="CG67" s="27" t="s">
        <v>96</v>
      </c>
      <c r="CH67" s="27" t="s">
        <v>95</v>
      </c>
      <c r="CI67" s="27" t="s">
        <v>172</v>
      </c>
      <c r="CJ67" s="27" t="s">
        <v>1636</v>
      </c>
      <c r="CK67" s="27"/>
      <c r="CL67" s="27" t="s">
        <v>96</v>
      </c>
      <c r="CM67" s="27" t="s">
        <v>408</v>
      </c>
      <c r="CN67" s="27" t="s">
        <v>96</v>
      </c>
      <c r="CO67" s="27"/>
      <c r="CP67" s="27"/>
      <c r="CQ67" s="27"/>
      <c r="CR67" s="43" t="s">
        <v>96</v>
      </c>
      <c r="CS67" s="43" t="s">
        <v>96</v>
      </c>
      <c r="CT67" s="43"/>
      <c r="CU67" s="43"/>
      <c r="CV67" s="43" t="s">
        <v>96</v>
      </c>
      <c r="CW67" s="43"/>
      <c r="CX67" s="43"/>
      <c r="CY67" s="43" t="s">
        <v>1723</v>
      </c>
      <c r="CZ67" s="43" t="s">
        <v>109</v>
      </c>
      <c r="DA67" s="43" t="s">
        <v>1470</v>
      </c>
      <c r="DB67" s="43"/>
      <c r="DC67" s="43"/>
      <c r="DD67" s="43"/>
      <c r="DE67" s="43"/>
      <c r="DF67" s="43"/>
    </row>
    <row r="68" spans="1:110" ht="14">
      <c r="A68" s="27" t="s">
        <v>409</v>
      </c>
      <c r="B68" s="27" t="s">
        <v>1713</v>
      </c>
      <c r="C68" s="27" t="s">
        <v>410</v>
      </c>
      <c r="D68" s="27" t="s">
        <v>122</v>
      </c>
      <c r="E68" s="27" t="s">
        <v>122</v>
      </c>
      <c r="F68" s="39">
        <v>2914012679.27</v>
      </c>
      <c r="G68" s="39">
        <v>48383</v>
      </c>
      <c r="H68" s="40">
        <v>2014</v>
      </c>
      <c r="I68" s="39">
        <v>56000</v>
      </c>
      <c r="J68" s="27" t="s">
        <v>94</v>
      </c>
      <c r="K68" s="41">
        <v>3.1710447374955373</v>
      </c>
      <c r="L68" s="39">
        <v>64156.598713534717</v>
      </c>
      <c r="M68" s="39">
        <v>53672</v>
      </c>
      <c r="N68" s="41">
        <v>3.2749199456840183</v>
      </c>
      <c r="O68" s="39">
        <v>71585.325621633136</v>
      </c>
      <c r="P68" s="39">
        <v>58030</v>
      </c>
      <c r="Q68" s="41">
        <v>3.3797032532361926</v>
      </c>
      <c r="R68" s="39">
        <v>77623.245429229093</v>
      </c>
      <c r="S68" s="39">
        <v>60926</v>
      </c>
      <c r="T68" s="41">
        <v>3.4905693108607885</v>
      </c>
      <c r="U68" s="39">
        <v>82209.76797181234</v>
      </c>
      <c r="V68" s="39">
        <v>62947</v>
      </c>
      <c r="W68" s="41">
        <v>3.5781251055437737</v>
      </c>
      <c r="X68" s="42"/>
      <c r="Y68" s="42"/>
      <c r="Z68" s="42"/>
      <c r="AA68" s="42"/>
      <c r="AB68" s="42"/>
      <c r="AC68" s="42"/>
      <c r="AD68" s="42"/>
      <c r="AE68" s="42"/>
      <c r="AF68" s="42"/>
      <c r="AG68" s="42"/>
      <c r="AH68" s="42"/>
      <c r="AI68" s="42"/>
      <c r="AJ68" s="42"/>
      <c r="AK68" s="39">
        <v>13497</v>
      </c>
      <c r="AL68" s="39"/>
      <c r="AM68" s="39"/>
      <c r="AN68" s="39"/>
      <c r="AO68" s="39"/>
      <c r="AP68" s="39"/>
      <c r="AQ68" s="39"/>
      <c r="AR68" s="39"/>
      <c r="AS68" s="42"/>
      <c r="AT68" s="42"/>
      <c r="AU68" s="42"/>
      <c r="AV68" s="42"/>
      <c r="AW68" s="42"/>
      <c r="AX68" s="42"/>
      <c r="AY68" s="42"/>
      <c r="AZ68" s="42"/>
      <c r="BA68" s="42"/>
      <c r="BB68" s="42"/>
      <c r="BC68" s="42"/>
      <c r="BD68" s="42"/>
      <c r="BE68" s="42"/>
      <c r="BF68" s="42"/>
      <c r="BG68" s="42">
        <v>6.78518943331302E-2</v>
      </c>
      <c r="BH68" s="42"/>
      <c r="BI68" s="42"/>
      <c r="BJ68" s="42">
        <v>0.29565575827090601</v>
      </c>
      <c r="BK68" s="42">
        <v>0.63649234739596405</v>
      </c>
      <c r="BL68" s="42"/>
      <c r="BM68" s="42"/>
      <c r="BN68" s="42"/>
      <c r="BO68" s="42"/>
      <c r="BP68" s="42"/>
      <c r="BQ68" s="42"/>
      <c r="BR68" s="42"/>
      <c r="BS68" s="42"/>
      <c r="BT68" s="42"/>
      <c r="BU68" s="42"/>
      <c r="BV68" s="42"/>
      <c r="BW68" s="39"/>
      <c r="BX68" s="39"/>
      <c r="BY68" s="39"/>
      <c r="BZ68" s="39"/>
      <c r="CA68" s="39"/>
      <c r="CB68" s="27" t="s">
        <v>95</v>
      </c>
      <c r="CC68" s="27" t="s">
        <v>96</v>
      </c>
      <c r="CD68" s="27" t="s">
        <v>96</v>
      </c>
      <c r="CE68" s="27" t="s">
        <v>411</v>
      </c>
      <c r="CF68" s="27" t="s">
        <v>96</v>
      </c>
      <c r="CG68" s="27" t="s">
        <v>95</v>
      </c>
      <c r="CH68" s="27" t="s">
        <v>96</v>
      </c>
      <c r="CI68" s="27"/>
      <c r="CJ68" s="27" t="s">
        <v>123</v>
      </c>
      <c r="CK68" s="27"/>
      <c r="CL68" s="27" t="s">
        <v>95</v>
      </c>
      <c r="CM68" s="27"/>
      <c r="CN68" s="27" t="s">
        <v>95</v>
      </c>
      <c r="CO68" s="27"/>
      <c r="CP68" s="27" t="s">
        <v>96</v>
      </c>
      <c r="CQ68" s="27" t="s">
        <v>412</v>
      </c>
      <c r="CR68" s="43"/>
      <c r="CS68" s="43"/>
      <c r="CT68" s="43"/>
      <c r="CU68" s="43"/>
      <c r="CV68" s="43"/>
      <c r="CW68" s="43"/>
      <c r="CX68" s="43"/>
      <c r="CY68" s="43"/>
      <c r="CZ68" s="43"/>
      <c r="DA68" s="43"/>
      <c r="DB68" s="43"/>
      <c r="DC68" s="43"/>
      <c r="DD68" s="43"/>
      <c r="DE68" s="43"/>
      <c r="DF68" s="43"/>
    </row>
    <row r="69" spans="1:110" ht="14">
      <c r="A69" s="27" t="s">
        <v>413</v>
      </c>
      <c r="B69" s="47" t="s">
        <v>1712</v>
      </c>
      <c r="C69" s="27" t="s">
        <v>414</v>
      </c>
      <c r="D69" s="27" t="s">
        <v>1650</v>
      </c>
      <c r="E69" s="27" t="s">
        <v>1650</v>
      </c>
      <c r="F69" s="39">
        <v>4305031649.7399998</v>
      </c>
      <c r="G69" s="39">
        <v>916325</v>
      </c>
      <c r="H69" s="40">
        <v>2021</v>
      </c>
      <c r="I69" s="39">
        <v>177263.07125000001</v>
      </c>
      <c r="J69" s="27" t="s">
        <v>94</v>
      </c>
      <c r="K69" s="41">
        <v>0.53</v>
      </c>
      <c r="L69" s="39">
        <v>182734.78708950002</v>
      </c>
      <c r="M69" s="39">
        <v>917097</v>
      </c>
      <c r="N69" s="41">
        <v>0.54590000000000005</v>
      </c>
      <c r="O69" s="39">
        <v>228509.03239592724</v>
      </c>
      <c r="P69" s="39">
        <v>951202</v>
      </c>
      <c r="Q69" s="41">
        <v>0.65816949875051312</v>
      </c>
      <c r="R69" s="39">
        <v>277102.07512227207</v>
      </c>
      <c r="S69" s="39">
        <v>982600</v>
      </c>
      <c r="T69" s="41">
        <v>0.77262748570962714</v>
      </c>
      <c r="U69" s="39">
        <v>325496.38091508351</v>
      </c>
      <c r="V69" s="39">
        <v>999936</v>
      </c>
      <c r="W69" s="41">
        <v>0.89182798360761795</v>
      </c>
      <c r="X69" s="42">
        <v>0.373</v>
      </c>
      <c r="Y69" s="42">
        <v>2.7E-2</v>
      </c>
      <c r="Z69" s="42">
        <v>4.1000000000000002E-2</v>
      </c>
      <c r="AA69" s="42">
        <v>0.17399999999999999</v>
      </c>
      <c r="AB69" s="42">
        <v>0.183</v>
      </c>
      <c r="AC69" s="42"/>
      <c r="AD69" s="42"/>
      <c r="AE69" s="42"/>
      <c r="AF69" s="42"/>
      <c r="AG69" s="42"/>
      <c r="AH69" s="42"/>
      <c r="AI69" s="42">
        <v>0.114</v>
      </c>
      <c r="AJ69" s="42">
        <v>8.9000000000000107E-2</v>
      </c>
      <c r="AK69" s="39"/>
      <c r="AL69" s="39"/>
      <c r="AM69" s="39"/>
      <c r="AN69" s="39">
        <v>7000</v>
      </c>
      <c r="AO69" s="39">
        <v>14333</v>
      </c>
      <c r="AP69" s="39"/>
      <c r="AQ69" s="39"/>
      <c r="AR69" s="39">
        <v>247.26</v>
      </c>
      <c r="AS69" s="42"/>
      <c r="AT69" s="42"/>
      <c r="AU69" s="42"/>
      <c r="AV69" s="42"/>
      <c r="AW69" s="42"/>
      <c r="AX69" s="42"/>
      <c r="AY69" s="42"/>
      <c r="AZ69" s="42"/>
      <c r="BA69" s="42">
        <v>0.93799999999999994</v>
      </c>
      <c r="BB69" s="42"/>
      <c r="BC69" s="42"/>
      <c r="BD69" s="42"/>
      <c r="BE69" s="42"/>
      <c r="BF69" s="42"/>
      <c r="BG69" s="42">
        <v>0.847763745945326</v>
      </c>
      <c r="BH69" s="42"/>
      <c r="BI69" s="42"/>
      <c r="BJ69" s="42">
        <v>5.45E-2</v>
      </c>
      <c r="BK69" s="42"/>
      <c r="BL69" s="42"/>
      <c r="BM69" s="42"/>
      <c r="BN69" s="42"/>
      <c r="BO69" s="42"/>
      <c r="BP69" s="42">
        <v>9.7736254054673594E-2</v>
      </c>
      <c r="BQ69" s="42"/>
      <c r="BR69" s="42"/>
      <c r="BS69" s="42"/>
      <c r="BT69" s="42"/>
      <c r="BU69" s="42"/>
      <c r="BV69" s="42"/>
      <c r="BW69" s="39"/>
      <c r="BX69" s="39"/>
      <c r="BY69" s="39"/>
      <c r="BZ69" s="39"/>
      <c r="CA69" s="39"/>
      <c r="CB69" s="27" t="s">
        <v>95</v>
      </c>
      <c r="CC69" s="27"/>
      <c r="CD69" s="27" t="s">
        <v>95</v>
      </c>
      <c r="CE69" s="27"/>
      <c r="CF69" s="27" t="s">
        <v>96</v>
      </c>
      <c r="CG69" s="27" t="s">
        <v>96</v>
      </c>
      <c r="CH69" s="27" t="s">
        <v>95</v>
      </c>
      <c r="CI69" s="27"/>
      <c r="CJ69" s="27" t="s">
        <v>415</v>
      </c>
      <c r="CK69" s="27"/>
      <c r="CL69" s="27"/>
      <c r="CM69" s="27"/>
      <c r="CN69" s="27" t="s">
        <v>96</v>
      </c>
      <c r="CO69" s="27" t="s">
        <v>416</v>
      </c>
      <c r="CP69" s="27" t="s">
        <v>96</v>
      </c>
      <c r="CQ69" s="27"/>
      <c r="CR69" s="43" t="s">
        <v>96</v>
      </c>
      <c r="CS69" s="43" t="s">
        <v>96</v>
      </c>
      <c r="CT69" s="43"/>
      <c r="CU69" s="43"/>
      <c r="CV69" s="43"/>
      <c r="CW69" s="43" t="s">
        <v>96</v>
      </c>
      <c r="CX69" s="43"/>
      <c r="CY69" s="43" t="s">
        <v>1723</v>
      </c>
      <c r="CZ69" s="43" t="s">
        <v>109</v>
      </c>
      <c r="DA69" s="43" t="s">
        <v>1470</v>
      </c>
      <c r="DB69" s="43" t="s">
        <v>96</v>
      </c>
      <c r="DC69" s="43" t="s">
        <v>168</v>
      </c>
      <c r="DD69" s="43" t="s">
        <v>1472</v>
      </c>
      <c r="DE69" s="43" t="s">
        <v>109</v>
      </c>
      <c r="DF69" s="43" t="s">
        <v>1470</v>
      </c>
    </row>
    <row r="70" spans="1:110" ht="14">
      <c r="A70" s="27" t="s">
        <v>417</v>
      </c>
      <c r="B70" s="27" t="s">
        <v>1713</v>
      </c>
      <c r="C70" s="27" t="s">
        <v>418</v>
      </c>
      <c r="D70" s="27" t="s">
        <v>122</v>
      </c>
      <c r="E70" s="27" t="s">
        <v>122</v>
      </c>
      <c r="F70" s="39">
        <v>280253099309</v>
      </c>
      <c r="G70" s="39">
        <v>5548271</v>
      </c>
      <c r="H70" s="40">
        <v>2022</v>
      </c>
      <c r="I70" s="39">
        <v>2898043</v>
      </c>
      <c r="J70" s="27" t="s">
        <v>152</v>
      </c>
      <c r="K70" s="41">
        <v>1.4310483095754403</v>
      </c>
      <c r="L70" s="39">
        <v>2898043</v>
      </c>
      <c r="M70" s="39">
        <v>5548271</v>
      </c>
      <c r="N70" s="41">
        <v>1.4310483095754403</v>
      </c>
      <c r="O70" s="39">
        <v>2995284.0152386865</v>
      </c>
      <c r="P70" s="39">
        <v>5596543</v>
      </c>
      <c r="Q70" s="41">
        <v>1.4663083221189226</v>
      </c>
      <c r="R70" s="39">
        <v>3027034.4232087485</v>
      </c>
      <c r="S70" s="39">
        <v>5486585</v>
      </c>
      <c r="T70" s="41">
        <v>1.5115495331052853</v>
      </c>
      <c r="U70" s="39">
        <v>3031301.4907439193</v>
      </c>
      <c r="V70" s="39">
        <v>5358740</v>
      </c>
      <c r="W70" s="41">
        <v>1.5497925988346573</v>
      </c>
      <c r="X70" s="42">
        <v>0.30218446897450901</v>
      </c>
      <c r="Y70" s="42">
        <v>4.6215991378725597E-2</v>
      </c>
      <c r="Z70" s="42">
        <v>2.8257510481784699E-2</v>
      </c>
      <c r="AA70" s="42">
        <v>0.25002052353092402</v>
      </c>
      <c r="AB70" s="42">
        <v>0.120406946832576</v>
      </c>
      <c r="AC70" s="42"/>
      <c r="AD70" s="42">
        <v>4.01540273603017E-2</v>
      </c>
      <c r="AE70" s="42">
        <v>1.9244549698078001E-2</v>
      </c>
      <c r="AF70" s="42">
        <v>3.29183086940808E-2</v>
      </c>
      <c r="AG70" s="42">
        <v>2.69422652203723E-2</v>
      </c>
      <c r="AH70" s="42">
        <v>3.0386131102228399E-3</v>
      </c>
      <c r="AI70" s="42">
        <v>3.6463357322674098E-2</v>
      </c>
      <c r="AJ70" s="42">
        <v>9.4153437395751799E-2</v>
      </c>
      <c r="AK70" s="39">
        <v>1346931</v>
      </c>
      <c r="AL70" s="39">
        <v>3157813</v>
      </c>
      <c r="AM70" s="39">
        <v>13054000</v>
      </c>
      <c r="AN70" s="39">
        <v>118000</v>
      </c>
      <c r="AO70" s="39">
        <v>27230000</v>
      </c>
      <c r="AP70" s="39">
        <v>12566000</v>
      </c>
      <c r="AQ70" s="39">
        <v>93566000</v>
      </c>
      <c r="AR70" s="39">
        <v>3528</v>
      </c>
      <c r="AS70" s="42"/>
      <c r="AT70" s="42"/>
      <c r="AU70" s="42"/>
      <c r="AV70" s="42"/>
      <c r="AW70" s="42"/>
      <c r="AX70" s="42"/>
      <c r="AY70" s="42"/>
      <c r="AZ70" s="42"/>
      <c r="BA70" s="42"/>
      <c r="BB70" s="42"/>
      <c r="BC70" s="42"/>
      <c r="BD70" s="42"/>
      <c r="BE70" s="42"/>
      <c r="BF70" s="42">
        <v>3.6678459284501699E-3</v>
      </c>
      <c r="BG70" s="42"/>
      <c r="BH70" s="42"/>
      <c r="BI70" s="42">
        <v>0.14738375233713399</v>
      </c>
      <c r="BJ70" s="42">
        <v>0.29108451941928298</v>
      </c>
      <c r="BK70" s="42">
        <v>0.55786388231513295</v>
      </c>
      <c r="BL70" s="42"/>
      <c r="BM70" s="42"/>
      <c r="BN70" s="42"/>
      <c r="BO70" s="42"/>
      <c r="BP70" s="42"/>
      <c r="BQ70" s="42"/>
      <c r="BR70" s="42"/>
      <c r="BS70" s="42"/>
      <c r="BT70" s="42"/>
      <c r="BU70" s="42"/>
      <c r="BV70" s="42"/>
      <c r="BW70" s="39">
        <v>7738</v>
      </c>
      <c r="BX70" s="39">
        <v>1743</v>
      </c>
      <c r="BY70" s="39"/>
      <c r="BZ70" s="39"/>
      <c r="CA70" s="39"/>
      <c r="CB70" s="27" t="s">
        <v>96</v>
      </c>
      <c r="CC70" s="27" t="s">
        <v>96</v>
      </c>
      <c r="CD70" s="27" t="s">
        <v>95</v>
      </c>
      <c r="CE70" s="27" t="s">
        <v>419</v>
      </c>
      <c r="CF70" s="27" t="s">
        <v>96</v>
      </c>
      <c r="CG70" s="27" t="s">
        <v>96</v>
      </c>
      <c r="CH70" s="27" t="s">
        <v>96</v>
      </c>
      <c r="CI70" s="27" t="s">
        <v>420</v>
      </c>
      <c r="CJ70" s="27" t="s">
        <v>1570</v>
      </c>
      <c r="CK70" s="27"/>
      <c r="CL70" s="27" t="s">
        <v>96</v>
      </c>
      <c r="CM70" s="27" t="s">
        <v>421</v>
      </c>
      <c r="CN70" s="27" t="s">
        <v>96</v>
      </c>
      <c r="CO70" s="27"/>
      <c r="CP70" s="27" t="s">
        <v>96</v>
      </c>
      <c r="CQ70" s="27"/>
      <c r="CR70" s="43" t="s">
        <v>96</v>
      </c>
      <c r="CS70" s="43" t="s">
        <v>96</v>
      </c>
      <c r="CT70" s="43"/>
      <c r="CU70" s="43" t="s">
        <v>96</v>
      </c>
      <c r="CV70" s="43" t="s">
        <v>96</v>
      </c>
      <c r="CW70" s="43" t="s">
        <v>96</v>
      </c>
      <c r="CX70" s="43" t="s">
        <v>96</v>
      </c>
      <c r="CY70" s="43" t="s">
        <v>1723</v>
      </c>
      <c r="CZ70" s="43" t="s">
        <v>109</v>
      </c>
      <c r="DA70" s="43" t="s">
        <v>1470</v>
      </c>
      <c r="DB70" s="43" t="s">
        <v>96</v>
      </c>
      <c r="DC70" s="43" t="s">
        <v>168</v>
      </c>
      <c r="DD70" s="43" t="s">
        <v>1472</v>
      </c>
      <c r="DE70" s="43" t="s">
        <v>109</v>
      </c>
      <c r="DF70" s="43" t="s">
        <v>1470</v>
      </c>
    </row>
    <row r="71" spans="1:110" ht="14">
      <c r="A71" s="27" t="s">
        <v>422</v>
      </c>
      <c r="B71" s="27" t="s">
        <v>1713</v>
      </c>
      <c r="C71" s="27" t="s">
        <v>423</v>
      </c>
      <c r="D71" s="27" t="s">
        <v>122</v>
      </c>
      <c r="E71" s="27" t="s">
        <v>122</v>
      </c>
      <c r="F71" s="39">
        <v>2796302210399</v>
      </c>
      <c r="G71" s="39">
        <v>66173331.999999993</v>
      </c>
      <c r="H71" s="40">
        <v>2022</v>
      </c>
      <c r="I71" s="39">
        <v>36606000</v>
      </c>
      <c r="J71" s="27" t="s">
        <v>152</v>
      </c>
      <c r="K71" s="41">
        <v>1.5155714232268689</v>
      </c>
      <c r="L71" s="39">
        <v>36606000</v>
      </c>
      <c r="M71" s="39">
        <v>66173331.999999993</v>
      </c>
      <c r="N71" s="41">
        <v>1.5155714232268689</v>
      </c>
      <c r="O71" s="39">
        <v>38289008.242954738</v>
      </c>
      <c r="P71" s="39">
        <v>67063815</v>
      </c>
      <c r="Q71" s="41">
        <v>1.5642025799822357</v>
      </c>
      <c r="R71" s="39">
        <v>39846427.443172403</v>
      </c>
      <c r="S71" s="39">
        <v>67906961</v>
      </c>
      <c r="T71" s="41">
        <v>1.6076156664536334</v>
      </c>
      <c r="U71" s="39">
        <v>41010825.747189194</v>
      </c>
      <c r="V71" s="39">
        <v>68226879</v>
      </c>
      <c r="W71" s="41">
        <v>1.6468352114513098</v>
      </c>
      <c r="X71" s="42">
        <v>0.216070191641653</v>
      </c>
      <c r="Y71" s="42">
        <v>0.13031632417455599</v>
      </c>
      <c r="Z71" s="42">
        <v>3.3387208496882897E-2</v>
      </c>
      <c r="AA71" s="42">
        <v>0.21948741630108501</v>
      </c>
      <c r="AB71" s="42">
        <v>0.13405679981528501</v>
      </c>
      <c r="AC71" s="42">
        <v>1.7086123297159999E-3</v>
      </c>
      <c r="AD71" s="42">
        <v>2.6783652736088702E-3</v>
      </c>
      <c r="AE71" s="42">
        <v>3.7081505425998598E-2</v>
      </c>
      <c r="AF71" s="42">
        <v>2.3643500346340302E-2</v>
      </c>
      <c r="AG71" s="42">
        <v>6.3726622027245397E-3</v>
      </c>
      <c r="AH71" s="42">
        <v>4.89494343107827E-3</v>
      </c>
      <c r="AI71" s="42">
        <v>0.106580466404987</v>
      </c>
      <c r="AJ71" s="42">
        <v>8.3722004156084107E-2</v>
      </c>
      <c r="AK71" s="39">
        <v>14300000</v>
      </c>
      <c r="AL71" s="39">
        <v>1291230</v>
      </c>
      <c r="AM71" s="39">
        <v>212733087</v>
      </c>
      <c r="AN71" s="39">
        <v>1445000</v>
      </c>
      <c r="AO71" s="39">
        <v>10347099</v>
      </c>
      <c r="AP71" s="39">
        <v>18507313</v>
      </c>
      <c r="AQ71" s="39">
        <v>263712</v>
      </c>
      <c r="AR71" s="39">
        <v>498806</v>
      </c>
      <c r="AS71" s="42"/>
      <c r="AT71" s="42"/>
      <c r="AU71" s="42"/>
      <c r="AV71" s="42"/>
      <c r="AW71" s="42"/>
      <c r="AX71" s="42"/>
      <c r="AY71" s="42"/>
      <c r="AZ71" s="42"/>
      <c r="BA71" s="42"/>
      <c r="BB71" s="42"/>
      <c r="BC71" s="42"/>
      <c r="BD71" s="42"/>
      <c r="BE71" s="42"/>
      <c r="BF71" s="42">
        <v>0.23692837239796799</v>
      </c>
      <c r="BG71" s="42"/>
      <c r="BH71" s="42"/>
      <c r="BI71" s="42">
        <v>0.18234715620390099</v>
      </c>
      <c r="BJ71" s="42">
        <v>0.23572638365295301</v>
      </c>
      <c r="BK71" s="42">
        <v>0.32707752827405301</v>
      </c>
      <c r="BL71" s="42"/>
      <c r="BM71" s="42"/>
      <c r="BN71" s="42"/>
      <c r="BO71" s="42"/>
      <c r="BP71" s="42">
        <v>1.78112877670328E-2</v>
      </c>
      <c r="BQ71" s="42"/>
      <c r="BR71" s="42"/>
      <c r="BS71" s="42"/>
      <c r="BT71" s="42"/>
      <c r="BU71" s="42"/>
      <c r="BV71" s="42"/>
      <c r="BW71" s="39">
        <v>122122</v>
      </c>
      <c r="BX71" s="39">
        <v>19540</v>
      </c>
      <c r="BY71" s="39"/>
      <c r="BZ71" s="39"/>
      <c r="CA71" s="39"/>
      <c r="CB71" s="27" t="s">
        <v>96</v>
      </c>
      <c r="CC71" s="27" t="s">
        <v>96</v>
      </c>
      <c r="CD71" s="27" t="s">
        <v>96</v>
      </c>
      <c r="CE71" s="27" t="s">
        <v>424</v>
      </c>
      <c r="CF71" s="27" t="s">
        <v>96</v>
      </c>
      <c r="CG71" s="27" t="s">
        <v>96</v>
      </c>
      <c r="CH71" s="27" t="s">
        <v>96</v>
      </c>
      <c r="CI71" s="27" t="s">
        <v>425</v>
      </c>
      <c r="CJ71" s="27" t="s">
        <v>1571</v>
      </c>
      <c r="CK71" s="27"/>
      <c r="CL71" s="27" t="s">
        <v>96</v>
      </c>
      <c r="CM71" s="27" t="s">
        <v>426</v>
      </c>
      <c r="CN71" s="27" t="s">
        <v>96</v>
      </c>
      <c r="CO71" s="27"/>
      <c r="CP71" s="27" t="s">
        <v>96</v>
      </c>
      <c r="CQ71" s="27"/>
      <c r="CR71" s="43" t="s">
        <v>96</v>
      </c>
      <c r="CS71" s="43" t="s">
        <v>96</v>
      </c>
      <c r="CT71" s="43"/>
      <c r="CU71" s="43" t="s">
        <v>96</v>
      </c>
      <c r="CV71" s="43" t="s">
        <v>96</v>
      </c>
      <c r="CW71" s="43" t="s">
        <v>96</v>
      </c>
      <c r="CX71" s="43" t="s">
        <v>96</v>
      </c>
      <c r="CY71" s="43" t="s">
        <v>1723</v>
      </c>
      <c r="CZ71" s="43" t="s">
        <v>109</v>
      </c>
      <c r="DA71" s="43" t="s">
        <v>1470</v>
      </c>
      <c r="DB71" s="43" t="s">
        <v>96</v>
      </c>
      <c r="DC71" s="43" t="s">
        <v>168</v>
      </c>
      <c r="DD71" s="43" t="s">
        <v>1069</v>
      </c>
      <c r="DE71" s="43" t="s">
        <v>106</v>
      </c>
      <c r="DF71" s="43" t="s">
        <v>1470</v>
      </c>
    </row>
    <row r="72" spans="1:110" ht="14">
      <c r="A72" s="27" t="s">
        <v>427</v>
      </c>
      <c r="B72" s="47" t="s">
        <v>1712</v>
      </c>
      <c r="C72" s="27" t="s">
        <v>428</v>
      </c>
      <c r="D72" s="27" t="s">
        <v>122</v>
      </c>
      <c r="E72" s="27" t="s">
        <v>122</v>
      </c>
      <c r="F72" s="39">
        <v>5574821989</v>
      </c>
      <c r="G72" s="39">
        <v>278819</v>
      </c>
      <c r="H72" s="40">
        <v>2020</v>
      </c>
      <c r="I72" s="39">
        <v>83366.880999999994</v>
      </c>
      <c r="J72" s="27" t="s">
        <v>94</v>
      </c>
      <c r="K72" s="41">
        <v>0.81917808219178079</v>
      </c>
      <c r="L72" s="39">
        <v>85784.542600686313</v>
      </c>
      <c r="M72" s="39">
        <v>279985</v>
      </c>
      <c r="N72" s="41">
        <v>0.83942405525820796</v>
      </c>
      <c r="O72" s="39">
        <v>90192.902510806132</v>
      </c>
      <c r="P72" s="39">
        <v>285221</v>
      </c>
      <c r="Q72" s="41">
        <v>0.86635921792350234</v>
      </c>
      <c r="R72" s="39">
        <v>93975.31871033764</v>
      </c>
      <c r="S72" s="39">
        <v>289157</v>
      </c>
      <c r="T72" s="41">
        <v>0.89040426689882923</v>
      </c>
      <c r="U72" s="39">
        <v>94952.890937280696</v>
      </c>
      <c r="V72" s="39">
        <v>285207</v>
      </c>
      <c r="W72" s="41">
        <v>0.9121266542457982</v>
      </c>
      <c r="X72" s="42">
        <v>0.47</v>
      </c>
      <c r="Y72" s="42">
        <v>0.03</v>
      </c>
      <c r="Z72" s="42">
        <v>0.03</v>
      </c>
      <c r="AA72" s="42">
        <v>0.16</v>
      </c>
      <c r="AB72" s="42">
        <v>0.02</v>
      </c>
      <c r="AC72" s="42"/>
      <c r="AD72" s="42"/>
      <c r="AE72" s="42"/>
      <c r="AF72" s="42">
        <v>0.06</v>
      </c>
      <c r="AG72" s="42"/>
      <c r="AH72" s="42"/>
      <c r="AI72" s="42"/>
      <c r="AJ72" s="42">
        <v>0.23</v>
      </c>
      <c r="AK72" s="39">
        <v>8500</v>
      </c>
      <c r="AL72" s="39"/>
      <c r="AM72" s="39"/>
      <c r="AN72" s="39"/>
      <c r="AO72" s="39"/>
      <c r="AP72" s="39"/>
      <c r="AQ72" s="39"/>
      <c r="AR72" s="39">
        <v>360</v>
      </c>
      <c r="AS72" s="42"/>
      <c r="AT72" s="42"/>
      <c r="AU72" s="42"/>
      <c r="AV72" s="42"/>
      <c r="AW72" s="42"/>
      <c r="AX72" s="42">
        <v>0.5</v>
      </c>
      <c r="AY72" s="42">
        <v>0.76</v>
      </c>
      <c r="AZ72" s="42"/>
      <c r="BA72" s="42"/>
      <c r="BB72" s="42">
        <v>1</v>
      </c>
      <c r="BC72" s="42"/>
      <c r="BD72" s="42">
        <v>0.61</v>
      </c>
      <c r="BE72" s="42"/>
      <c r="BF72" s="42"/>
      <c r="BG72" s="42"/>
      <c r="BH72" s="42"/>
      <c r="BI72" s="42"/>
      <c r="BJ72" s="42">
        <v>0.39</v>
      </c>
      <c r="BK72" s="42"/>
      <c r="BL72" s="42"/>
      <c r="BM72" s="42"/>
      <c r="BN72" s="42"/>
      <c r="BO72" s="42"/>
      <c r="BP72" s="42"/>
      <c r="BQ72" s="42"/>
      <c r="BR72" s="42"/>
      <c r="BS72" s="42"/>
      <c r="BT72" s="42"/>
      <c r="BU72" s="42"/>
      <c r="BV72" s="42"/>
      <c r="BW72" s="39"/>
      <c r="BX72" s="39"/>
      <c r="BY72" s="39"/>
      <c r="BZ72" s="39"/>
      <c r="CA72" s="39"/>
      <c r="CB72" s="27" t="s">
        <v>95</v>
      </c>
      <c r="CC72" s="27" t="s">
        <v>96</v>
      </c>
      <c r="CD72" s="27" t="s">
        <v>95</v>
      </c>
      <c r="CE72" s="27" t="s">
        <v>429</v>
      </c>
      <c r="CF72" s="27" t="s">
        <v>96</v>
      </c>
      <c r="CG72" s="27"/>
      <c r="CH72" s="27" t="s">
        <v>95</v>
      </c>
      <c r="CI72" s="27"/>
      <c r="CJ72" s="27" t="s">
        <v>123</v>
      </c>
      <c r="CK72" s="27"/>
      <c r="CL72" s="27"/>
      <c r="CM72" s="27"/>
      <c r="CN72" s="27" t="s">
        <v>96</v>
      </c>
      <c r="CO72" s="27"/>
      <c r="CP72" s="27"/>
      <c r="CQ72" s="27"/>
      <c r="CR72" s="43" t="s">
        <v>96</v>
      </c>
      <c r="CS72" s="43" t="s">
        <v>96</v>
      </c>
      <c r="CT72" s="43"/>
      <c r="CU72" s="43"/>
      <c r="CV72" s="43" t="s">
        <v>96</v>
      </c>
      <c r="CW72" s="43" t="s">
        <v>96</v>
      </c>
      <c r="CX72" s="43" t="s">
        <v>96</v>
      </c>
      <c r="CY72" s="43" t="s">
        <v>106</v>
      </c>
      <c r="CZ72" s="43" t="s">
        <v>198</v>
      </c>
      <c r="DA72" s="43" t="s">
        <v>1470</v>
      </c>
      <c r="DB72" s="43"/>
      <c r="DC72" s="43"/>
      <c r="DD72" s="43"/>
      <c r="DE72" s="43"/>
      <c r="DF72" s="43"/>
    </row>
    <row r="73" spans="1:110" ht="14">
      <c r="A73" s="27" t="s">
        <v>430</v>
      </c>
      <c r="B73" s="33" t="s">
        <v>1693</v>
      </c>
      <c r="C73" s="27" t="s">
        <v>431</v>
      </c>
      <c r="D73" s="27" t="s">
        <v>1650</v>
      </c>
      <c r="E73" s="27" t="s">
        <v>1650</v>
      </c>
      <c r="F73" s="39">
        <v>14929487485.16</v>
      </c>
      <c r="G73" s="39">
        <v>2129163</v>
      </c>
      <c r="H73" s="40">
        <v>2017</v>
      </c>
      <c r="I73" s="39">
        <v>386358</v>
      </c>
      <c r="J73" s="27" t="s">
        <v>94</v>
      </c>
      <c r="K73" s="41">
        <v>0.49715079047172561</v>
      </c>
      <c r="L73" s="39">
        <v>427477.0847503969</v>
      </c>
      <c r="M73" s="39">
        <v>2403779</v>
      </c>
      <c r="N73" s="41">
        <v>0.4872203705942047</v>
      </c>
      <c r="O73" s="39">
        <v>525155.78379955865</v>
      </c>
      <c r="P73" s="39">
        <v>2838860</v>
      </c>
      <c r="Q73" s="41">
        <v>0.50681716228128881</v>
      </c>
      <c r="R73" s="39">
        <v>701737.20348578948</v>
      </c>
      <c r="S73" s="39">
        <v>3421991</v>
      </c>
      <c r="T73" s="41">
        <v>0.56182721719109863</v>
      </c>
      <c r="U73" s="39">
        <v>901996.04422567715</v>
      </c>
      <c r="V73" s="39">
        <v>4052998</v>
      </c>
      <c r="W73" s="41">
        <v>0.60972693274816769</v>
      </c>
      <c r="X73" s="42"/>
      <c r="Y73" s="42"/>
      <c r="Z73" s="42"/>
      <c r="AA73" s="42"/>
      <c r="AB73" s="42"/>
      <c r="AC73" s="42"/>
      <c r="AD73" s="42"/>
      <c r="AE73" s="42"/>
      <c r="AF73" s="42"/>
      <c r="AG73" s="42"/>
      <c r="AH73" s="42"/>
      <c r="AI73" s="42"/>
      <c r="AJ73" s="42"/>
      <c r="AK73" s="39"/>
      <c r="AL73" s="39"/>
      <c r="AM73" s="39"/>
      <c r="AN73" s="39">
        <v>21000</v>
      </c>
      <c r="AO73" s="39"/>
      <c r="AP73" s="39"/>
      <c r="AQ73" s="39"/>
      <c r="AR73" s="39"/>
      <c r="AS73" s="42"/>
      <c r="AT73" s="42"/>
      <c r="AU73" s="42">
        <v>9.0999999999999998E-2</v>
      </c>
      <c r="AV73" s="42"/>
      <c r="AW73" s="42"/>
      <c r="AX73" s="42">
        <v>0.53300000000000003</v>
      </c>
      <c r="AY73" s="42"/>
      <c r="AZ73" s="42"/>
      <c r="BA73" s="42">
        <v>0.60499999999999998</v>
      </c>
      <c r="BB73" s="42"/>
      <c r="BC73" s="42"/>
      <c r="BD73" s="42">
        <v>0.14000000000000001</v>
      </c>
      <c r="BE73" s="42"/>
      <c r="BF73" s="42"/>
      <c r="BG73" s="42">
        <v>0.56000000000000005</v>
      </c>
      <c r="BH73" s="42"/>
      <c r="BI73" s="42"/>
      <c r="BJ73" s="42"/>
      <c r="BK73" s="42"/>
      <c r="BL73" s="42"/>
      <c r="BM73" s="42"/>
      <c r="BN73" s="42"/>
      <c r="BO73" s="42">
        <v>0.3</v>
      </c>
      <c r="BP73" s="42"/>
      <c r="BQ73" s="42">
        <v>0.59707724425887299</v>
      </c>
      <c r="BR73" s="42">
        <v>1.4613778705636699E-2</v>
      </c>
      <c r="BS73" s="42">
        <v>2.7139874739039699E-2</v>
      </c>
      <c r="BT73" s="42">
        <v>4.5929018789144099E-2</v>
      </c>
      <c r="BU73" s="42">
        <v>0.258872651356994</v>
      </c>
      <c r="BV73" s="42">
        <v>5.4279749478079301E-2</v>
      </c>
      <c r="BW73" s="39"/>
      <c r="BX73" s="39"/>
      <c r="BY73" s="39"/>
      <c r="BZ73" s="39"/>
      <c r="CA73" s="39"/>
      <c r="CB73" s="27" t="s">
        <v>95</v>
      </c>
      <c r="CC73" s="27" t="s">
        <v>95</v>
      </c>
      <c r="CD73" s="27" t="s">
        <v>96</v>
      </c>
      <c r="CE73" s="27" t="s">
        <v>432</v>
      </c>
      <c r="CF73" s="27" t="s">
        <v>96</v>
      </c>
      <c r="CG73" s="27" t="s">
        <v>96</v>
      </c>
      <c r="CH73" s="27" t="s">
        <v>95</v>
      </c>
      <c r="CI73" s="27" t="s">
        <v>433</v>
      </c>
      <c r="CJ73" s="27" t="s">
        <v>434</v>
      </c>
      <c r="CK73" s="27"/>
      <c r="CL73" s="27" t="s">
        <v>96</v>
      </c>
      <c r="CM73" s="27" t="s">
        <v>435</v>
      </c>
      <c r="CN73" s="27" t="s">
        <v>96</v>
      </c>
      <c r="CO73" s="27"/>
      <c r="CP73" s="27"/>
      <c r="CQ73" s="27"/>
      <c r="CR73" s="43" t="s">
        <v>96</v>
      </c>
      <c r="CS73" s="43" t="s">
        <v>96</v>
      </c>
      <c r="CT73" s="43" t="s">
        <v>96</v>
      </c>
      <c r="CU73" s="43"/>
      <c r="CV73" s="43"/>
      <c r="CW73" s="43"/>
      <c r="CX73" s="43"/>
      <c r="CY73" s="43" t="s">
        <v>106</v>
      </c>
      <c r="CZ73" s="43" t="s">
        <v>198</v>
      </c>
      <c r="DA73" s="43" t="s">
        <v>197</v>
      </c>
      <c r="DB73" s="43"/>
      <c r="DC73" s="43"/>
      <c r="DD73" s="43"/>
      <c r="DE73" s="43"/>
      <c r="DF73" s="43"/>
    </row>
    <row r="74" spans="1:110" ht="14">
      <c r="A74" s="27" t="s">
        <v>436</v>
      </c>
      <c r="B74" s="33" t="s">
        <v>1693</v>
      </c>
      <c r="C74" s="27" t="s">
        <v>437</v>
      </c>
      <c r="D74" s="27" t="s">
        <v>93</v>
      </c>
      <c r="E74" s="27" t="s">
        <v>93</v>
      </c>
      <c r="F74" s="39">
        <v>1229461721.4100001</v>
      </c>
      <c r="G74" s="39">
        <v>2134337</v>
      </c>
      <c r="H74" s="40">
        <v>2014</v>
      </c>
      <c r="I74" s="39">
        <v>282378</v>
      </c>
      <c r="J74" s="27" t="s">
        <v>94</v>
      </c>
      <c r="K74" s="41">
        <v>0.36247244749277341</v>
      </c>
      <c r="L74" s="39">
        <v>387304.66041818354</v>
      </c>
      <c r="M74" s="39">
        <v>2606154</v>
      </c>
      <c r="N74" s="41">
        <v>0.40715501028717216</v>
      </c>
      <c r="O74" s="39">
        <v>570829.19394898799</v>
      </c>
      <c r="P74" s="39">
        <v>3099662</v>
      </c>
      <c r="Q74" s="41">
        <v>0.50454391474304006</v>
      </c>
      <c r="R74" s="39">
        <v>702422.43129740434</v>
      </c>
      <c r="S74" s="39">
        <v>3703133</v>
      </c>
      <c r="T74" s="41">
        <v>0.51968023218533133</v>
      </c>
      <c r="U74" s="39">
        <v>835215.89010887349</v>
      </c>
      <c r="V74" s="39">
        <v>4274964</v>
      </c>
      <c r="W74" s="41">
        <v>0.53527063915089124</v>
      </c>
      <c r="X74" s="42"/>
      <c r="Y74" s="42"/>
      <c r="Z74" s="42"/>
      <c r="AA74" s="42"/>
      <c r="AB74" s="42"/>
      <c r="AC74" s="42"/>
      <c r="AD74" s="42"/>
      <c r="AE74" s="42"/>
      <c r="AF74" s="42"/>
      <c r="AG74" s="42"/>
      <c r="AH74" s="42"/>
      <c r="AI74" s="42"/>
      <c r="AJ74" s="42"/>
      <c r="AK74" s="39"/>
      <c r="AL74" s="39"/>
      <c r="AM74" s="39"/>
      <c r="AN74" s="39">
        <v>4000</v>
      </c>
      <c r="AO74" s="39"/>
      <c r="AP74" s="39"/>
      <c r="AQ74" s="39"/>
      <c r="AR74" s="39"/>
      <c r="AS74" s="42"/>
      <c r="AT74" s="42"/>
      <c r="AU74" s="42">
        <v>0.03</v>
      </c>
      <c r="AV74" s="42"/>
      <c r="AW74" s="42"/>
      <c r="AX74" s="42">
        <v>0.32600000000000001</v>
      </c>
      <c r="AY74" s="42"/>
      <c r="AZ74" s="42"/>
      <c r="BA74" s="42">
        <v>0.47199999999999998</v>
      </c>
      <c r="BB74" s="42"/>
      <c r="BC74" s="42"/>
      <c r="BD74" s="42"/>
      <c r="BE74" s="42"/>
      <c r="BF74" s="42"/>
      <c r="BG74" s="42"/>
      <c r="BH74" s="42"/>
      <c r="BI74" s="42"/>
      <c r="BJ74" s="42"/>
      <c r="BK74" s="42"/>
      <c r="BL74" s="42"/>
      <c r="BM74" s="42"/>
      <c r="BN74" s="42">
        <v>0.83599999999999997</v>
      </c>
      <c r="BO74" s="42"/>
      <c r="BP74" s="42">
        <v>0.16400000000000001</v>
      </c>
      <c r="BQ74" s="42">
        <v>0.30563798219584598</v>
      </c>
      <c r="BR74" s="42">
        <v>0.43916913946587499</v>
      </c>
      <c r="BS74" s="42">
        <v>0.198813056379822</v>
      </c>
      <c r="BT74" s="42"/>
      <c r="BU74" s="42">
        <v>4.7477744807121698E-2</v>
      </c>
      <c r="BV74" s="42">
        <v>1.0385756676557899E-2</v>
      </c>
      <c r="BW74" s="39"/>
      <c r="BX74" s="39"/>
      <c r="BY74" s="39"/>
      <c r="BZ74" s="39"/>
      <c r="CA74" s="39"/>
      <c r="CB74" s="27" t="s">
        <v>95</v>
      </c>
      <c r="CC74" s="27" t="s">
        <v>95</v>
      </c>
      <c r="CD74" s="27" t="s">
        <v>96</v>
      </c>
      <c r="CE74" s="27" t="s">
        <v>273</v>
      </c>
      <c r="CF74" s="27" t="s">
        <v>96</v>
      </c>
      <c r="CG74" s="27" t="s">
        <v>96</v>
      </c>
      <c r="CH74" s="27" t="s">
        <v>95</v>
      </c>
      <c r="CI74" s="27"/>
      <c r="CJ74" s="27" t="s">
        <v>1720</v>
      </c>
      <c r="CK74" s="27"/>
      <c r="CL74" s="27"/>
      <c r="CM74" s="27"/>
      <c r="CN74" s="27" t="s">
        <v>95</v>
      </c>
      <c r="CO74" s="27"/>
      <c r="CP74" s="27"/>
      <c r="CQ74" s="27"/>
      <c r="CR74" s="43" t="s">
        <v>96</v>
      </c>
      <c r="CS74" s="43" t="s">
        <v>96</v>
      </c>
      <c r="CT74" s="43"/>
      <c r="CU74" s="43"/>
      <c r="CV74" s="43"/>
      <c r="CW74" s="43"/>
      <c r="CX74" s="43"/>
      <c r="CY74" s="43" t="s">
        <v>106</v>
      </c>
      <c r="CZ74" s="43" t="s">
        <v>198</v>
      </c>
      <c r="DA74" s="43" t="s">
        <v>1471</v>
      </c>
      <c r="DB74" s="43"/>
      <c r="DC74" s="43"/>
      <c r="DD74" s="43"/>
      <c r="DE74" s="43"/>
      <c r="DF74" s="43"/>
    </row>
    <row r="75" spans="1:110" ht="14">
      <c r="A75" s="27" t="s">
        <v>438</v>
      </c>
      <c r="B75" s="27" t="s">
        <v>1713</v>
      </c>
      <c r="C75" s="27" t="s">
        <v>439</v>
      </c>
      <c r="D75" s="27" t="s">
        <v>1650</v>
      </c>
      <c r="E75" s="27" t="s">
        <v>1650</v>
      </c>
      <c r="F75" s="39">
        <v>17638337116.91</v>
      </c>
      <c r="G75" s="39">
        <v>3796569</v>
      </c>
      <c r="H75" s="40">
        <v>2019</v>
      </c>
      <c r="I75" s="39">
        <v>1117396.49</v>
      </c>
      <c r="J75" s="27" t="s">
        <v>152</v>
      </c>
      <c r="K75" s="41">
        <v>0.80634916593780936</v>
      </c>
      <c r="L75" s="39">
        <v>1202056.5188749486</v>
      </c>
      <c r="M75" s="39">
        <v>3782422</v>
      </c>
      <c r="N75" s="41">
        <v>0.87068696490350439</v>
      </c>
      <c r="O75" s="39">
        <v>1241520.204648183</v>
      </c>
      <c r="P75" s="39">
        <v>3792815</v>
      </c>
      <c r="Q75" s="41">
        <v>0.8968075738506095</v>
      </c>
      <c r="R75" s="39">
        <v>1432040.6942639062</v>
      </c>
      <c r="S75" s="39">
        <v>3736071</v>
      </c>
      <c r="T75" s="41">
        <v>1.0501404182005285</v>
      </c>
      <c r="U75" s="39">
        <v>1501729.0447064878</v>
      </c>
      <c r="V75" s="39">
        <v>3668430</v>
      </c>
      <c r="W75" s="41">
        <v>1.1215495865753984</v>
      </c>
      <c r="X75" s="42">
        <v>0.46029999999999999</v>
      </c>
      <c r="Y75" s="42">
        <v>3.5400000000000001E-2</v>
      </c>
      <c r="Z75" s="42">
        <v>1.6299999999999999E-2</v>
      </c>
      <c r="AA75" s="42">
        <v>0.1232</v>
      </c>
      <c r="AB75" s="42">
        <v>0.1489</v>
      </c>
      <c r="AC75" s="42"/>
      <c r="AD75" s="42">
        <v>1.0699999999999999E-2</v>
      </c>
      <c r="AE75" s="42"/>
      <c r="AF75" s="42">
        <v>5.11E-2</v>
      </c>
      <c r="AG75" s="42">
        <v>9.7999999999999997E-3</v>
      </c>
      <c r="AH75" s="42"/>
      <c r="AI75" s="42"/>
      <c r="AJ75" s="42">
        <v>0.1444</v>
      </c>
      <c r="AK75" s="39"/>
      <c r="AL75" s="39"/>
      <c r="AM75" s="39"/>
      <c r="AN75" s="39">
        <v>34000</v>
      </c>
      <c r="AO75" s="39"/>
      <c r="AP75" s="39"/>
      <c r="AQ75" s="39"/>
      <c r="AR75" s="39"/>
      <c r="AS75" s="42"/>
      <c r="AT75" s="42"/>
      <c r="AU75" s="42"/>
      <c r="AV75" s="42"/>
      <c r="AW75" s="42">
        <v>0.63560000000000005</v>
      </c>
      <c r="AX75" s="42"/>
      <c r="AY75" s="42">
        <v>0.88900000000000001</v>
      </c>
      <c r="AZ75" s="42">
        <v>0.87880000000000003</v>
      </c>
      <c r="BA75" s="42"/>
      <c r="BB75" s="42"/>
      <c r="BC75" s="42">
        <v>0.97560000000000002</v>
      </c>
      <c r="BD75" s="42"/>
      <c r="BE75" s="42">
        <v>0.87880000000000003</v>
      </c>
      <c r="BF75" s="42"/>
      <c r="BG75" s="42"/>
      <c r="BH75" s="42"/>
      <c r="BI75" s="42"/>
      <c r="BJ75" s="42"/>
      <c r="BK75" s="42"/>
      <c r="BL75" s="42"/>
      <c r="BM75" s="42"/>
      <c r="BN75" s="42"/>
      <c r="BO75" s="42">
        <v>0.1212</v>
      </c>
      <c r="BP75" s="42"/>
      <c r="BQ75" s="42"/>
      <c r="BR75" s="42"/>
      <c r="BS75" s="42"/>
      <c r="BT75" s="42"/>
      <c r="BU75" s="42"/>
      <c r="BV75" s="42"/>
      <c r="BW75" s="39"/>
      <c r="BX75" s="39"/>
      <c r="BY75" s="39"/>
      <c r="BZ75" s="39"/>
      <c r="CA75" s="39"/>
      <c r="CB75" s="27" t="s">
        <v>95</v>
      </c>
      <c r="CC75" s="27" t="s">
        <v>95</v>
      </c>
      <c r="CD75" s="27" t="s">
        <v>96</v>
      </c>
      <c r="CE75" s="27" t="s">
        <v>440</v>
      </c>
      <c r="CF75" s="27" t="s">
        <v>96</v>
      </c>
      <c r="CG75" s="27" t="s">
        <v>96</v>
      </c>
      <c r="CH75" s="27" t="s">
        <v>96</v>
      </c>
      <c r="CI75" s="27" t="s">
        <v>441</v>
      </c>
      <c r="CJ75" s="27" t="s">
        <v>1574</v>
      </c>
      <c r="CK75" s="27"/>
      <c r="CL75" s="27" t="s">
        <v>96</v>
      </c>
      <c r="CM75" s="27" t="s">
        <v>442</v>
      </c>
      <c r="CN75" s="27" t="s">
        <v>95</v>
      </c>
      <c r="CO75" s="27"/>
      <c r="CP75" s="27" t="s">
        <v>96</v>
      </c>
      <c r="CQ75" s="27" t="s">
        <v>443</v>
      </c>
      <c r="CR75" s="43" t="s">
        <v>96</v>
      </c>
      <c r="CS75" s="43"/>
      <c r="CT75" s="43"/>
      <c r="CU75" s="43"/>
      <c r="CV75" s="43" t="s">
        <v>96</v>
      </c>
      <c r="CW75" s="43" t="s">
        <v>96</v>
      </c>
      <c r="CX75" s="43" t="s">
        <v>96</v>
      </c>
      <c r="CY75" s="43" t="s">
        <v>1723</v>
      </c>
      <c r="CZ75" s="43" t="s">
        <v>109</v>
      </c>
      <c r="DA75" s="43" t="s">
        <v>1470</v>
      </c>
      <c r="DB75" s="43"/>
      <c r="DC75" s="43"/>
      <c r="DD75" s="43"/>
      <c r="DE75" s="43"/>
      <c r="DF75" s="43"/>
    </row>
    <row r="76" spans="1:110" ht="14">
      <c r="A76" s="27" t="s">
        <v>444</v>
      </c>
      <c r="B76" s="27" t="s">
        <v>1713</v>
      </c>
      <c r="C76" s="27" t="s">
        <v>445</v>
      </c>
      <c r="D76" s="27" t="s">
        <v>122</v>
      </c>
      <c r="E76" s="27" t="s">
        <v>122</v>
      </c>
      <c r="F76" s="39">
        <v>4163596357879</v>
      </c>
      <c r="G76" s="39">
        <v>83771555</v>
      </c>
      <c r="H76" s="40">
        <v>2022</v>
      </c>
      <c r="I76" s="39">
        <v>49699000</v>
      </c>
      <c r="J76" s="27" t="s">
        <v>194</v>
      </c>
      <c r="K76" s="41">
        <v>1.6253923403429296</v>
      </c>
      <c r="L76" s="39">
        <v>49699000.000000007</v>
      </c>
      <c r="M76" s="39">
        <v>83771555</v>
      </c>
      <c r="N76" s="41">
        <v>1.6253923403429296</v>
      </c>
      <c r="O76" s="39">
        <v>50108356.404156052</v>
      </c>
      <c r="P76" s="39">
        <v>82890845</v>
      </c>
      <c r="Q76" s="41">
        <v>1.6561921673082778</v>
      </c>
      <c r="R76" s="39">
        <v>50239145.156646088</v>
      </c>
      <c r="S76" s="39">
        <v>80659523</v>
      </c>
      <c r="T76" s="41">
        <v>1.7064506267890065</v>
      </c>
      <c r="U76" s="39">
        <v>50172423.442046501</v>
      </c>
      <c r="V76" s="39">
        <v>78417032</v>
      </c>
      <c r="W76" s="41">
        <v>1.7529188603028387</v>
      </c>
      <c r="X76" s="42">
        <v>0.354869597030045</v>
      </c>
      <c r="Y76" s="42">
        <v>7.6238260779172007E-2</v>
      </c>
      <c r="Z76" s="42">
        <v>1.90022304450389E-2</v>
      </c>
      <c r="AA76" s="42">
        <v>0.20074085855404</v>
      </c>
      <c r="AB76" s="42">
        <v>8.4727678052323202E-2</v>
      </c>
      <c r="AC76" s="42"/>
      <c r="AD76" s="42">
        <v>0.22052967446893901</v>
      </c>
      <c r="AE76" s="42"/>
      <c r="AF76" s="42">
        <v>4.3891700670441701E-2</v>
      </c>
      <c r="AG76" s="42"/>
      <c r="AH76" s="42"/>
      <c r="AI76" s="42"/>
      <c r="AJ76" s="42"/>
      <c r="AK76" s="39">
        <v>23358530</v>
      </c>
      <c r="AL76" s="39">
        <v>1004332</v>
      </c>
      <c r="AM76" s="39">
        <v>221989000</v>
      </c>
      <c r="AN76" s="39">
        <v>2375643</v>
      </c>
      <c r="AO76" s="39">
        <v>22780909</v>
      </c>
      <c r="AP76" s="39">
        <v>49576000</v>
      </c>
      <c r="AQ76" s="39">
        <v>29008000</v>
      </c>
      <c r="AR76" s="39">
        <v>399905</v>
      </c>
      <c r="AS76" s="42"/>
      <c r="AT76" s="42"/>
      <c r="AU76" s="42"/>
      <c r="AV76" s="42"/>
      <c r="AW76" s="42"/>
      <c r="AX76" s="42"/>
      <c r="AY76" s="42"/>
      <c r="AZ76" s="42"/>
      <c r="BA76" s="42"/>
      <c r="BB76" s="42"/>
      <c r="BC76" s="42"/>
      <c r="BD76" s="42"/>
      <c r="BE76" s="42"/>
      <c r="BF76" s="42">
        <v>1.3923821404857199E-2</v>
      </c>
      <c r="BG76" s="42"/>
      <c r="BH76" s="42"/>
      <c r="BI76" s="42">
        <v>0.22088975633312499</v>
      </c>
      <c r="BJ76" s="42">
        <v>0.469928972413932</v>
      </c>
      <c r="BK76" s="42">
        <v>0.295257449848085</v>
      </c>
      <c r="BL76" s="42"/>
      <c r="BM76" s="42"/>
      <c r="BN76" s="42"/>
      <c r="BO76" s="42"/>
      <c r="BP76" s="42"/>
      <c r="BQ76" s="42"/>
      <c r="BR76" s="42"/>
      <c r="BS76" s="42"/>
      <c r="BT76" s="42"/>
      <c r="BU76" s="42"/>
      <c r="BV76" s="42"/>
      <c r="BW76" s="39">
        <v>280000</v>
      </c>
      <c r="BX76" s="39">
        <v>67632.850241545893</v>
      </c>
      <c r="BY76" s="39"/>
      <c r="BZ76" s="39"/>
      <c r="CA76" s="39"/>
      <c r="CB76" s="27" t="s">
        <v>96</v>
      </c>
      <c r="CC76" s="27" t="s">
        <v>96</v>
      </c>
      <c r="CD76" s="27" t="s">
        <v>96</v>
      </c>
      <c r="CE76" s="27" t="s">
        <v>446</v>
      </c>
      <c r="CF76" s="27" t="s">
        <v>96</v>
      </c>
      <c r="CG76" s="27" t="s">
        <v>96</v>
      </c>
      <c r="CH76" s="27" t="s">
        <v>96</v>
      </c>
      <c r="CI76" s="27" t="s">
        <v>447</v>
      </c>
      <c r="CJ76" s="27" t="s">
        <v>448</v>
      </c>
      <c r="CK76" s="27" t="s">
        <v>449</v>
      </c>
      <c r="CL76" s="27" t="s">
        <v>96</v>
      </c>
      <c r="CM76" s="27" t="s">
        <v>166</v>
      </c>
      <c r="CN76" s="27" t="s">
        <v>96</v>
      </c>
      <c r="CO76" s="27"/>
      <c r="CP76" s="27" t="s">
        <v>96</v>
      </c>
      <c r="CQ76" s="27"/>
      <c r="CR76" s="43" t="s">
        <v>96</v>
      </c>
      <c r="CS76" s="43" t="s">
        <v>96</v>
      </c>
      <c r="CT76" s="43"/>
      <c r="CU76" s="43" t="s">
        <v>96</v>
      </c>
      <c r="CV76" s="43" t="s">
        <v>96</v>
      </c>
      <c r="CW76" s="43" t="s">
        <v>96</v>
      </c>
      <c r="CX76" s="43" t="s">
        <v>96</v>
      </c>
      <c r="CY76" s="43" t="s">
        <v>1723</v>
      </c>
      <c r="CZ76" s="43" t="s">
        <v>109</v>
      </c>
      <c r="DA76" s="43" t="s">
        <v>1470</v>
      </c>
      <c r="DB76" s="43" t="s">
        <v>96</v>
      </c>
      <c r="DC76" s="43" t="s">
        <v>168</v>
      </c>
      <c r="DD76" s="43" t="s">
        <v>1472</v>
      </c>
      <c r="DE76" s="43" t="s">
        <v>109</v>
      </c>
      <c r="DF76" s="43" t="s">
        <v>1470</v>
      </c>
    </row>
    <row r="77" spans="1:110" ht="14">
      <c r="A77" s="27" t="s">
        <v>450</v>
      </c>
      <c r="B77" s="33" t="s">
        <v>1693</v>
      </c>
      <c r="C77" s="27" t="s">
        <v>451</v>
      </c>
      <c r="D77" s="27" t="s">
        <v>1651</v>
      </c>
      <c r="E77" s="27" t="s">
        <v>1651</v>
      </c>
      <c r="F77" s="39">
        <v>60385409435</v>
      </c>
      <c r="G77" s="39">
        <v>29690208</v>
      </c>
      <c r="H77" s="40">
        <v>2017</v>
      </c>
      <c r="I77" s="39">
        <v>3290590</v>
      </c>
      <c r="J77" s="27" t="s">
        <v>94</v>
      </c>
      <c r="K77" s="41">
        <v>0.3036460730922852</v>
      </c>
      <c r="L77" s="39">
        <v>3976073.9830410564</v>
      </c>
      <c r="M77" s="39">
        <v>32830932.999999996</v>
      </c>
      <c r="N77" s="41">
        <v>0.33180151713003941</v>
      </c>
      <c r="O77" s="39">
        <v>5298152.3888932941</v>
      </c>
      <c r="P77" s="39">
        <v>37904379</v>
      </c>
      <c r="Q77" s="41">
        <v>0.38295010708308735</v>
      </c>
      <c r="R77" s="39">
        <v>7694741.4977975432</v>
      </c>
      <c r="S77" s="39">
        <v>44255669</v>
      </c>
      <c r="T77" s="41">
        <v>0.47635667999075343</v>
      </c>
      <c r="U77" s="39">
        <v>10537762.279493572</v>
      </c>
      <c r="V77" s="39">
        <v>50270362</v>
      </c>
      <c r="W77" s="41">
        <v>0.57430622018702837</v>
      </c>
      <c r="X77" s="42"/>
      <c r="Y77" s="42"/>
      <c r="Z77" s="42"/>
      <c r="AA77" s="42"/>
      <c r="AB77" s="42"/>
      <c r="AC77" s="42"/>
      <c r="AD77" s="42"/>
      <c r="AE77" s="42"/>
      <c r="AF77" s="42"/>
      <c r="AG77" s="42"/>
      <c r="AH77" s="42"/>
      <c r="AI77" s="42"/>
      <c r="AJ77" s="42"/>
      <c r="AK77" s="39"/>
      <c r="AL77" s="39"/>
      <c r="AM77" s="39"/>
      <c r="AN77" s="39">
        <v>72000</v>
      </c>
      <c r="AO77" s="39"/>
      <c r="AP77" s="39"/>
      <c r="AQ77" s="39"/>
      <c r="AR77" s="39">
        <v>136656</v>
      </c>
      <c r="AS77" s="42">
        <v>0.63</v>
      </c>
      <c r="AT77" s="42">
        <v>0.37</v>
      </c>
      <c r="AU77" s="42">
        <v>5.8000000000000003E-2</v>
      </c>
      <c r="AV77" s="42"/>
      <c r="AW77" s="42"/>
      <c r="AX77" s="42">
        <v>0.33400000000000002</v>
      </c>
      <c r="AY77" s="42"/>
      <c r="AZ77" s="42"/>
      <c r="BA77" s="42">
        <v>0.51400000000000001</v>
      </c>
      <c r="BB77" s="42"/>
      <c r="BC77" s="42"/>
      <c r="BD77" s="42"/>
      <c r="BE77" s="42"/>
      <c r="BF77" s="42"/>
      <c r="BG77" s="42"/>
      <c r="BH77" s="42"/>
      <c r="BI77" s="42"/>
      <c r="BJ77" s="42"/>
      <c r="BK77" s="42"/>
      <c r="BL77" s="42"/>
      <c r="BM77" s="42"/>
      <c r="BN77" s="42"/>
      <c r="BO77" s="42"/>
      <c r="BP77" s="42"/>
      <c r="BQ77" s="42">
        <v>0.114</v>
      </c>
      <c r="BR77" s="42">
        <v>0.77500000000000002</v>
      </c>
      <c r="BS77" s="42">
        <v>0.107</v>
      </c>
      <c r="BT77" s="42"/>
      <c r="BU77" s="42"/>
      <c r="BV77" s="42">
        <v>5.0000000000000001E-3</v>
      </c>
      <c r="BW77" s="39"/>
      <c r="BX77" s="39"/>
      <c r="BY77" s="39"/>
      <c r="BZ77" s="39"/>
      <c r="CA77" s="39"/>
      <c r="CB77" s="27" t="s">
        <v>95</v>
      </c>
      <c r="CC77" s="27" t="s">
        <v>95</v>
      </c>
      <c r="CD77" s="27" t="s">
        <v>96</v>
      </c>
      <c r="CE77" s="27" t="s">
        <v>452</v>
      </c>
      <c r="CF77" s="27" t="s">
        <v>96</v>
      </c>
      <c r="CG77" s="27" t="s">
        <v>96</v>
      </c>
      <c r="CH77" s="27" t="s">
        <v>96</v>
      </c>
      <c r="CI77" s="27" t="s">
        <v>453</v>
      </c>
      <c r="CJ77" s="27" t="s">
        <v>1637</v>
      </c>
      <c r="CK77" s="27"/>
      <c r="CL77" s="27" t="s">
        <v>96</v>
      </c>
      <c r="CM77" s="27" t="s">
        <v>454</v>
      </c>
      <c r="CN77" s="27" t="s">
        <v>95</v>
      </c>
      <c r="CO77" s="27"/>
      <c r="CP77" s="27"/>
      <c r="CQ77" s="27"/>
      <c r="CR77" s="43" t="s">
        <v>96</v>
      </c>
      <c r="CS77" s="43" t="s">
        <v>96</v>
      </c>
      <c r="CT77" s="43"/>
      <c r="CU77" s="43"/>
      <c r="CV77" s="43"/>
      <c r="CW77" s="43"/>
      <c r="CX77" s="43"/>
      <c r="CY77" s="43" t="s">
        <v>106</v>
      </c>
      <c r="CZ77" s="43" t="s">
        <v>148</v>
      </c>
      <c r="DA77" s="43" t="s">
        <v>1471</v>
      </c>
      <c r="DB77" s="43"/>
      <c r="DC77" s="43"/>
      <c r="DD77" s="43"/>
      <c r="DE77" s="43"/>
      <c r="DF77" s="43"/>
    </row>
    <row r="78" spans="1:110" ht="14">
      <c r="A78" s="27" t="s">
        <v>455</v>
      </c>
      <c r="B78" s="27" t="s">
        <v>1713</v>
      </c>
      <c r="C78" s="27" t="s">
        <v>456</v>
      </c>
      <c r="D78" s="27" t="s">
        <v>122</v>
      </c>
      <c r="E78" s="27" t="s">
        <v>122</v>
      </c>
      <c r="F78" s="39" t="s">
        <v>1620</v>
      </c>
      <c r="G78" s="39">
        <v>36520</v>
      </c>
      <c r="H78" s="40">
        <v>2021</v>
      </c>
      <c r="I78" s="39">
        <v>16416.5</v>
      </c>
      <c r="J78" s="27" t="s">
        <v>94</v>
      </c>
      <c r="K78" s="41">
        <v>1.2315638644240725</v>
      </c>
      <c r="L78" s="39">
        <v>16877.53212905299</v>
      </c>
      <c r="M78" s="39">
        <v>37197</v>
      </c>
      <c r="N78" s="41">
        <v>1.243106004575637</v>
      </c>
      <c r="O78" s="39">
        <v>20253.777593934723</v>
      </c>
      <c r="P78" s="39">
        <v>43170</v>
      </c>
      <c r="Q78" s="41">
        <v>1.2853787729260695</v>
      </c>
      <c r="R78" s="39">
        <v>23302.849683249202</v>
      </c>
      <c r="S78" s="39">
        <v>47680</v>
      </c>
      <c r="T78" s="41">
        <v>1.338997982167027</v>
      </c>
      <c r="U78" s="39">
        <v>25226.901970206272</v>
      </c>
      <c r="V78" s="39">
        <v>49737</v>
      </c>
      <c r="W78" s="41">
        <v>1.3896053223630971</v>
      </c>
      <c r="X78" s="42">
        <v>0.27529999999999999</v>
      </c>
      <c r="Y78" s="42">
        <v>4.3999999999999997E-2</v>
      </c>
      <c r="Z78" s="42">
        <v>4.2000000000000003E-2</v>
      </c>
      <c r="AA78" s="42">
        <v>0.34160000000000001</v>
      </c>
      <c r="AB78" s="42">
        <v>0.16070000000000001</v>
      </c>
      <c r="AC78" s="42"/>
      <c r="AD78" s="42"/>
      <c r="AE78" s="42"/>
      <c r="AF78" s="42">
        <v>4.0599999999999997E-2</v>
      </c>
      <c r="AG78" s="42"/>
      <c r="AH78" s="42"/>
      <c r="AI78" s="42"/>
      <c r="AJ78" s="42">
        <v>9.5799999999999996E-2</v>
      </c>
      <c r="AK78" s="39">
        <v>2628.24</v>
      </c>
      <c r="AL78" s="39"/>
      <c r="AM78" s="39">
        <v>30000</v>
      </c>
      <c r="AN78" s="39">
        <v>321.77999999999997</v>
      </c>
      <c r="AO78" s="39">
        <v>55132.72</v>
      </c>
      <c r="AP78" s="39"/>
      <c r="AQ78" s="39"/>
      <c r="AR78" s="39">
        <v>603487.5</v>
      </c>
      <c r="AS78" s="42">
        <v>0.47575757575757599</v>
      </c>
      <c r="AT78" s="42">
        <v>0.52424242424242395</v>
      </c>
      <c r="AU78" s="42"/>
      <c r="AV78" s="42"/>
      <c r="AW78" s="42"/>
      <c r="AX78" s="42"/>
      <c r="AY78" s="42"/>
      <c r="AZ78" s="42"/>
      <c r="BA78" s="42"/>
      <c r="BB78" s="42"/>
      <c r="BC78" s="42"/>
      <c r="BD78" s="42"/>
      <c r="BE78" s="42"/>
      <c r="BF78" s="42"/>
      <c r="BG78" s="42"/>
      <c r="BH78" s="42"/>
      <c r="BI78" s="42"/>
      <c r="BJ78" s="42"/>
      <c r="BK78" s="42"/>
      <c r="BL78" s="42"/>
      <c r="BM78" s="42"/>
      <c r="BN78" s="42"/>
      <c r="BO78" s="42"/>
      <c r="BP78" s="42"/>
      <c r="BQ78" s="42"/>
      <c r="BR78" s="42"/>
      <c r="BS78" s="42"/>
      <c r="BT78" s="42"/>
      <c r="BU78" s="42"/>
      <c r="BV78" s="42"/>
      <c r="BW78" s="39"/>
      <c r="BX78" s="39"/>
      <c r="BY78" s="39"/>
      <c r="BZ78" s="39"/>
      <c r="CA78" s="39"/>
      <c r="CB78" s="27" t="s">
        <v>95</v>
      </c>
      <c r="CC78" s="27" t="s">
        <v>96</v>
      </c>
      <c r="CD78" s="27" t="s">
        <v>96</v>
      </c>
      <c r="CE78" s="27" t="s">
        <v>457</v>
      </c>
      <c r="CF78" s="27" t="s">
        <v>96</v>
      </c>
      <c r="CG78" s="27"/>
      <c r="CH78" s="27" t="s">
        <v>95</v>
      </c>
      <c r="CI78" s="27"/>
      <c r="CJ78" s="27" t="s">
        <v>458</v>
      </c>
      <c r="CK78" s="27"/>
      <c r="CL78" s="27" t="s">
        <v>96</v>
      </c>
      <c r="CM78" s="27" t="s">
        <v>459</v>
      </c>
      <c r="CN78" s="27" t="s">
        <v>95</v>
      </c>
      <c r="CO78" s="27"/>
      <c r="CP78" s="27" t="s">
        <v>95</v>
      </c>
      <c r="CQ78" s="27"/>
      <c r="CR78" s="43" t="s">
        <v>96</v>
      </c>
      <c r="CS78" s="43"/>
      <c r="CT78" s="43"/>
      <c r="CU78" s="43"/>
      <c r="CV78" s="43"/>
      <c r="CW78" s="43"/>
      <c r="CX78" s="43" t="s">
        <v>96</v>
      </c>
      <c r="CY78" s="43" t="s">
        <v>1723</v>
      </c>
      <c r="CZ78" s="43" t="s">
        <v>109</v>
      </c>
      <c r="DA78" s="43" t="s">
        <v>1470</v>
      </c>
      <c r="DB78" s="43"/>
      <c r="DC78" s="43"/>
      <c r="DD78" s="43"/>
      <c r="DE78" s="43"/>
      <c r="DF78" s="43"/>
    </row>
    <row r="79" spans="1:110" ht="14">
      <c r="A79" s="27" t="s">
        <v>460</v>
      </c>
      <c r="B79" s="27" t="s">
        <v>1713</v>
      </c>
      <c r="C79" s="27" t="s">
        <v>461</v>
      </c>
      <c r="D79" s="27" t="s">
        <v>122</v>
      </c>
      <c r="E79" s="27" t="s">
        <v>122</v>
      </c>
      <c r="F79" s="39">
        <v>218303801895</v>
      </c>
      <c r="G79" s="39">
        <v>10683458</v>
      </c>
      <c r="H79" s="40">
        <v>2021</v>
      </c>
      <c r="I79" s="39">
        <v>5381000</v>
      </c>
      <c r="J79" s="27" t="s">
        <v>94</v>
      </c>
      <c r="K79" s="41">
        <v>1.3799338897035638</v>
      </c>
      <c r="L79" s="39">
        <v>5421550.5487189777</v>
      </c>
      <c r="M79" s="39">
        <v>10475664</v>
      </c>
      <c r="N79" s="41">
        <v>1.4179113750856538</v>
      </c>
      <c r="O79" s="39">
        <v>5478861.1190726543</v>
      </c>
      <c r="P79" s="39">
        <v>9744085</v>
      </c>
      <c r="Q79" s="41">
        <v>1.5404810619384204</v>
      </c>
      <c r="R79" s="39">
        <v>5538468.3403347023</v>
      </c>
      <c r="S79" s="39">
        <v>9297351</v>
      </c>
      <c r="T79" s="41">
        <v>1.6320655059630096</v>
      </c>
      <c r="U79" s="39">
        <v>5506191.8578431252</v>
      </c>
      <c r="V79" s="39">
        <v>8838461</v>
      </c>
      <c r="W79" s="41">
        <v>1.7067968218421379</v>
      </c>
      <c r="X79" s="42">
        <v>0.42975794934308198</v>
      </c>
      <c r="Y79" s="42">
        <v>4.2290604204788598E-2</v>
      </c>
      <c r="Z79" s="42">
        <v>3.72493389389916E-2</v>
      </c>
      <c r="AA79" s="42">
        <v>0.24419782713617899</v>
      </c>
      <c r="AB79" s="42">
        <v>0.140262847318014</v>
      </c>
      <c r="AC79" s="42"/>
      <c r="AD79" s="42">
        <v>3.6142317067895502E-2</v>
      </c>
      <c r="AE79" s="42"/>
      <c r="AF79" s="42"/>
      <c r="AG79" s="42"/>
      <c r="AH79" s="42"/>
      <c r="AI79" s="42"/>
      <c r="AJ79" s="42">
        <v>7.0099115991049496E-2</v>
      </c>
      <c r="AK79" s="39">
        <v>1030342</v>
      </c>
      <c r="AL79" s="39">
        <v>644097</v>
      </c>
      <c r="AM79" s="39">
        <v>5416303</v>
      </c>
      <c r="AN79" s="39">
        <v>219800</v>
      </c>
      <c r="AO79" s="39">
        <v>552386</v>
      </c>
      <c r="AP79" s="39">
        <v>3059660</v>
      </c>
      <c r="AQ79" s="39">
        <v>8993621</v>
      </c>
      <c r="AR79" s="39"/>
      <c r="AS79" s="42"/>
      <c r="AT79" s="42"/>
      <c r="AU79" s="42"/>
      <c r="AV79" s="42"/>
      <c r="AW79" s="42"/>
      <c r="AX79" s="42"/>
      <c r="AY79" s="42">
        <v>0.96</v>
      </c>
      <c r="AZ79" s="42"/>
      <c r="BA79" s="42"/>
      <c r="BB79" s="42"/>
      <c r="BC79" s="42"/>
      <c r="BD79" s="42"/>
      <c r="BE79" s="42"/>
      <c r="BF79" s="42"/>
      <c r="BG79" s="42">
        <v>0.77700000000000002</v>
      </c>
      <c r="BH79" s="42"/>
      <c r="BI79" s="42">
        <v>0.05</v>
      </c>
      <c r="BJ79" s="42">
        <v>0.16</v>
      </c>
      <c r="BK79" s="42"/>
      <c r="BL79" s="42"/>
      <c r="BM79" s="42"/>
      <c r="BN79" s="42">
        <v>1.2999999999999999E-2</v>
      </c>
      <c r="BO79" s="42"/>
      <c r="BP79" s="42"/>
      <c r="BQ79" s="42"/>
      <c r="BR79" s="42"/>
      <c r="BS79" s="42"/>
      <c r="BT79" s="42"/>
      <c r="BU79" s="42"/>
      <c r="BV79" s="42"/>
      <c r="BW79" s="39"/>
      <c r="BX79" s="39"/>
      <c r="BY79" s="39"/>
      <c r="BZ79" s="39"/>
      <c r="CA79" s="39"/>
      <c r="CB79" s="27" t="s">
        <v>95</v>
      </c>
      <c r="CC79" s="27" t="s">
        <v>96</v>
      </c>
      <c r="CD79" s="27" t="s">
        <v>96</v>
      </c>
      <c r="CE79" s="27" t="s">
        <v>462</v>
      </c>
      <c r="CF79" s="27" t="s">
        <v>96</v>
      </c>
      <c r="CG79" s="27" t="s">
        <v>96</v>
      </c>
      <c r="CH79" s="27" t="s">
        <v>96</v>
      </c>
      <c r="CI79" s="27" t="s">
        <v>463</v>
      </c>
      <c r="CJ79" s="27" t="s">
        <v>1572</v>
      </c>
      <c r="CK79" s="48"/>
      <c r="CL79" s="27" t="s">
        <v>96</v>
      </c>
      <c r="CM79" s="43" t="s">
        <v>464</v>
      </c>
      <c r="CN79" s="27" t="s">
        <v>96</v>
      </c>
      <c r="CO79" s="43" t="s">
        <v>465</v>
      </c>
      <c r="CP79" s="27" t="s">
        <v>96</v>
      </c>
      <c r="CQ79" s="43" t="s">
        <v>466</v>
      </c>
      <c r="CR79" s="43" t="s">
        <v>96</v>
      </c>
      <c r="CS79" s="43" t="s">
        <v>96</v>
      </c>
      <c r="CT79" s="43"/>
      <c r="CU79" s="43" t="s">
        <v>96</v>
      </c>
      <c r="CV79" s="43" t="s">
        <v>96</v>
      </c>
      <c r="CW79" s="43" t="s">
        <v>96</v>
      </c>
      <c r="CX79" s="43" t="s">
        <v>96</v>
      </c>
      <c r="CY79" s="43" t="s">
        <v>1723</v>
      </c>
      <c r="CZ79" s="43" t="s">
        <v>109</v>
      </c>
      <c r="DA79" s="43" t="s">
        <v>1470</v>
      </c>
      <c r="DB79" s="43" t="s">
        <v>96</v>
      </c>
      <c r="DC79" s="43" t="s">
        <v>168</v>
      </c>
      <c r="DD79" s="43" t="s">
        <v>1435</v>
      </c>
      <c r="DE79" s="43" t="s">
        <v>106</v>
      </c>
      <c r="DF79" s="43" t="s">
        <v>1470</v>
      </c>
    </row>
    <row r="80" spans="1:110" ht="14">
      <c r="A80" s="27" t="s">
        <v>467</v>
      </c>
      <c r="B80" s="27" t="s">
        <v>1713</v>
      </c>
      <c r="C80" s="27" t="s">
        <v>468</v>
      </c>
      <c r="D80" s="27" t="s">
        <v>122</v>
      </c>
      <c r="E80" s="27" t="s">
        <v>122</v>
      </c>
      <c r="F80" s="39">
        <v>3152334772</v>
      </c>
      <c r="G80" s="39">
        <v>56019</v>
      </c>
      <c r="H80" s="40">
        <v>2022</v>
      </c>
      <c r="I80" s="39">
        <v>41958.231</v>
      </c>
      <c r="J80" s="27" t="s">
        <v>194</v>
      </c>
      <c r="K80" s="41">
        <v>2.0520547945205481</v>
      </c>
      <c r="L80" s="39">
        <v>41958.231</v>
      </c>
      <c r="M80" s="39">
        <v>56019</v>
      </c>
      <c r="N80" s="41">
        <v>2.0520547945205481</v>
      </c>
      <c r="O80" s="39">
        <v>42529.407778940127</v>
      </c>
      <c r="P80" s="39">
        <v>55134</v>
      </c>
      <c r="Q80" s="41">
        <v>2.113376961979065</v>
      </c>
      <c r="R80" s="39">
        <v>41938.359610064203</v>
      </c>
      <c r="S80" s="39">
        <v>52815</v>
      </c>
      <c r="T80" s="41">
        <v>2.1755110360700352</v>
      </c>
      <c r="U80" s="39">
        <v>40642.224119342391</v>
      </c>
      <c r="V80" s="39">
        <v>50026</v>
      </c>
      <c r="W80" s="41">
        <v>2.2258137614655387</v>
      </c>
      <c r="X80" s="42"/>
      <c r="Y80" s="42"/>
      <c r="Z80" s="42"/>
      <c r="AA80" s="42"/>
      <c r="AB80" s="42"/>
      <c r="AC80" s="42"/>
      <c r="AD80" s="42"/>
      <c r="AE80" s="42"/>
      <c r="AF80" s="42"/>
      <c r="AG80" s="42"/>
      <c r="AH80" s="42"/>
      <c r="AI80" s="42"/>
      <c r="AJ80" s="42"/>
      <c r="AK80" s="39"/>
      <c r="AL80" s="39"/>
      <c r="AM80" s="39"/>
      <c r="AN80" s="39"/>
      <c r="AO80" s="39">
        <v>730</v>
      </c>
      <c r="AP80" s="39"/>
      <c r="AQ80" s="39"/>
      <c r="AR80" s="39"/>
      <c r="AS80" s="42"/>
      <c r="AT80" s="42"/>
      <c r="AU80" s="42"/>
      <c r="AV80" s="42"/>
      <c r="AW80" s="42"/>
      <c r="AX80" s="42"/>
      <c r="AY80" s="42"/>
      <c r="AZ80" s="42"/>
      <c r="BA80" s="42"/>
      <c r="BB80" s="42"/>
      <c r="BC80" s="42"/>
      <c r="BD80" s="42"/>
      <c r="BE80" s="42"/>
      <c r="BF80" s="42"/>
      <c r="BG80" s="42">
        <v>0.12683578104138901</v>
      </c>
      <c r="BH80" s="42"/>
      <c r="BI80" s="42"/>
      <c r="BJ80" s="42"/>
      <c r="BK80" s="42">
        <v>0.87316421895861196</v>
      </c>
      <c r="BL80" s="42"/>
      <c r="BM80" s="42"/>
      <c r="BN80" s="42"/>
      <c r="BO80" s="42"/>
      <c r="BP80" s="42"/>
      <c r="BQ80" s="42"/>
      <c r="BR80" s="42"/>
      <c r="BS80" s="42"/>
      <c r="BT80" s="42"/>
      <c r="BU80" s="42"/>
      <c r="BV80" s="42"/>
      <c r="BW80" s="39"/>
      <c r="BX80" s="39"/>
      <c r="BY80" s="39"/>
      <c r="BZ80" s="39"/>
      <c r="CA80" s="39"/>
      <c r="CB80" s="27" t="s">
        <v>95</v>
      </c>
      <c r="CC80" s="27" t="s">
        <v>95</v>
      </c>
      <c r="CD80" s="27" t="s">
        <v>96</v>
      </c>
      <c r="CE80" s="27" t="s">
        <v>469</v>
      </c>
      <c r="CF80" s="27" t="s">
        <v>96</v>
      </c>
      <c r="CG80" s="27"/>
      <c r="CH80" s="27" t="s">
        <v>95</v>
      </c>
      <c r="CI80" s="27" t="s">
        <v>470</v>
      </c>
      <c r="CJ80" s="27" t="s">
        <v>1573</v>
      </c>
      <c r="CK80" s="27"/>
      <c r="CL80" s="27" t="s">
        <v>95</v>
      </c>
      <c r="CM80" s="27"/>
      <c r="CN80" s="27" t="s">
        <v>95</v>
      </c>
      <c r="CO80" s="27"/>
      <c r="CP80" s="27" t="s">
        <v>96</v>
      </c>
      <c r="CQ80" s="27"/>
      <c r="CR80" s="43"/>
      <c r="CS80" s="43"/>
      <c r="CT80" s="43"/>
      <c r="CU80" s="43"/>
      <c r="CV80" s="43"/>
      <c r="CW80" s="43"/>
      <c r="CX80" s="43"/>
      <c r="CY80" s="43"/>
      <c r="CZ80" s="43"/>
      <c r="DA80" s="43"/>
      <c r="DB80" s="43" t="s">
        <v>96</v>
      </c>
      <c r="DC80" s="43" t="s">
        <v>168</v>
      </c>
      <c r="DD80" s="43" t="s">
        <v>1472</v>
      </c>
      <c r="DE80" s="43" t="s">
        <v>106</v>
      </c>
      <c r="DF80" s="43" t="s">
        <v>197</v>
      </c>
    </row>
    <row r="81" spans="1:110" ht="14">
      <c r="A81" s="27" t="s">
        <v>471</v>
      </c>
      <c r="B81" s="27" t="s">
        <v>1714</v>
      </c>
      <c r="C81" s="27" t="s">
        <v>472</v>
      </c>
      <c r="D81" s="27" t="s">
        <v>1650</v>
      </c>
      <c r="E81" s="27" t="s">
        <v>1650</v>
      </c>
      <c r="F81" s="39">
        <v>1231732104</v>
      </c>
      <c r="G81" s="39">
        <v>116819</v>
      </c>
      <c r="H81" s="40">
        <v>2022</v>
      </c>
      <c r="I81" s="39">
        <v>34000</v>
      </c>
      <c r="J81" s="27" t="s">
        <v>94</v>
      </c>
      <c r="K81" s="41">
        <v>0.79739327448023745</v>
      </c>
      <c r="L81" s="39">
        <v>34000</v>
      </c>
      <c r="M81" s="39">
        <v>116819</v>
      </c>
      <c r="N81" s="41">
        <v>0.79739327448023745</v>
      </c>
      <c r="O81" s="39">
        <v>39245.41450864837</v>
      </c>
      <c r="P81" s="39">
        <v>117461</v>
      </c>
      <c r="Q81" s="41">
        <v>0.91538198708795271</v>
      </c>
      <c r="R81" s="39">
        <v>44641.96325694694</v>
      </c>
      <c r="S81" s="39">
        <v>116605</v>
      </c>
      <c r="T81" s="41">
        <v>1.0488979773523408</v>
      </c>
      <c r="U81" s="39">
        <v>48427.724643091133</v>
      </c>
      <c r="V81" s="39">
        <v>113454</v>
      </c>
      <c r="W81" s="41">
        <v>1.1694492715312328</v>
      </c>
      <c r="X81" s="42">
        <v>0.27100000000000002</v>
      </c>
      <c r="Y81" s="42">
        <v>3.1E-2</v>
      </c>
      <c r="Z81" s="42">
        <v>2.4E-2</v>
      </c>
      <c r="AA81" s="42">
        <v>0.13600000000000001</v>
      </c>
      <c r="AB81" s="42">
        <v>0.16400000000000001</v>
      </c>
      <c r="AC81" s="42">
        <v>8.9999999999999993E-3</v>
      </c>
      <c r="AD81" s="42"/>
      <c r="AE81" s="42"/>
      <c r="AF81" s="42">
        <v>2.3E-2</v>
      </c>
      <c r="AG81" s="42"/>
      <c r="AH81" s="42"/>
      <c r="AI81" s="42"/>
      <c r="AJ81" s="42">
        <v>0.34200000000000003</v>
      </c>
      <c r="AK81" s="39"/>
      <c r="AL81" s="39"/>
      <c r="AM81" s="39"/>
      <c r="AN81" s="39">
        <v>1000</v>
      </c>
      <c r="AO81" s="39"/>
      <c r="AP81" s="39"/>
      <c r="AQ81" s="39"/>
      <c r="AR81" s="39"/>
      <c r="AS81" s="42">
        <v>0.53</v>
      </c>
      <c r="AT81" s="42">
        <v>0.47</v>
      </c>
      <c r="AU81" s="42"/>
      <c r="AV81" s="42"/>
      <c r="AW81" s="42"/>
      <c r="AX81" s="42">
        <v>0.98299999999999998</v>
      </c>
      <c r="AY81" s="42"/>
      <c r="AZ81" s="42"/>
      <c r="BA81" s="42"/>
      <c r="BB81" s="42"/>
      <c r="BC81" s="42"/>
      <c r="BD81" s="42"/>
      <c r="BE81" s="42">
        <v>0.98299999999999998</v>
      </c>
      <c r="BF81" s="42"/>
      <c r="BG81" s="42"/>
      <c r="BH81" s="42"/>
      <c r="BI81" s="42">
        <v>2E-3</v>
      </c>
      <c r="BJ81" s="42"/>
      <c r="BK81" s="42"/>
      <c r="BL81" s="42"/>
      <c r="BM81" s="42"/>
      <c r="BN81" s="42">
        <v>1E-3</v>
      </c>
      <c r="BO81" s="42">
        <v>1.4E-2</v>
      </c>
      <c r="BP81" s="42"/>
      <c r="BQ81" s="42">
        <v>0.31578947368421101</v>
      </c>
      <c r="BR81" s="42">
        <v>0.51072124756335302</v>
      </c>
      <c r="BS81" s="42">
        <v>6.2378167641325498E-2</v>
      </c>
      <c r="BT81" s="42">
        <v>0.11111111111111099</v>
      </c>
      <c r="BU81" s="42"/>
      <c r="BV81" s="42"/>
      <c r="BW81" s="39"/>
      <c r="BX81" s="39"/>
      <c r="BY81" s="39"/>
      <c r="BZ81" s="39"/>
      <c r="CA81" s="39"/>
      <c r="CB81" s="27" t="s">
        <v>95</v>
      </c>
      <c r="CC81" s="27" t="s">
        <v>95</v>
      </c>
      <c r="CD81" s="27" t="s">
        <v>96</v>
      </c>
      <c r="CE81" s="27" t="s">
        <v>332</v>
      </c>
      <c r="CF81" s="27" t="s">
        <v>96</v>
      </c>
      <c r="CG81" s="27" t="s">
        <v>96</v>
      </c>
      <c r="CH81" s="27" t="s">
        <v>95</v>
      </c>
      <c r="CI81" s="27"/>
      <c r="CJ81" s="27" t="s">
        <v>473</v>
      </c>
      <c r="CK81" s="27"/>
      <c r="CL81" s="27" t="s">
        <v>96</v>
      </c>
      <c r="CM81" s="27" t="s">
        <v>474</v>
      </c>
      <c r="CN81" s="27" t="s">
        <v>95</v>
      </c>
      <c r="CO81" s="27"/>
      <c r="CP81" s="27" t="s">
        <v>95</v>
      </c>
      <c r="CQ81" s="27"/>
      <c r="CR81" s="43"/>
      <c r="CS81" s="43"/>
      <c r="CT81" s="43"/>
      <c r="CU81" s="43"/>
      <c r="CV81" s="43"/>
      <c r="CW81" s="43"/>
      <c r="CX81" s="43"/>
      <c r="CY81" s="43"/>
      <c r="CZ81" s="43"/>
      <c r="DA81" s="43"/>
      <c r="DB81" s="43"/>
      <c r="DC81" s="43"/>
      <c r="DD81" s="43"/>
      <c r="DE81" s="43"/>
      <c r="DF81" s="43"/>
    </row>
    <row r="82" spans="1:110" ht="14">
      <c r="A82" s="27" t="s">
        <v>475</v>
      </c>
      <c r="B82" s="47" t="s">
        <v>1712</v>
      </c>
      <c r="C82" s="27" t="s">
        <v>476</v>
      </c>
      <c r="D82" s="27" t="s">
        <v>122</v>
      </c>
      <c r="E82" s="27" t="s">
        <v>122</v>
      </c>
      <c r="F82" s="39">
        <v>5265000000</v>
      </c>
      <c r="G82" s="39">
        <v>166479</v>
      </c>
      <c r="H82" s="40">
        <v>2012</v>
      </c>
      <c r="I82" s="39">
        <v>141500</v>
      </c>
      <c r="J82" s="27" t="s">
        <v>94</v>
      </c>
      <c r="K82" s="41">
        <v>2.3286494565483475</v>
      </c>
      <c r="L82" s="39">
        <v>145823.88199396516</v>
      </c>
      <c r="M82" s="39">
        <v>164502</v>
      </c>
      <c r="N82" s="41">
        <v>2.4286481922102654</v>
      </c>
      <c r="O82" s="39">
        <v>159138.56422515682</v>
      </c>
      <c r="P82" s="39">
        <v>174107</v>
      </c>
      <c r="Q82" s="41">
        <v>2.5041845897654467</v>
      </c>
      <c r="R82" s="39">
        <v>171070.01814476619</v>
      </c>
      <c r="S82" s="39">
        <v>183202</v>
      </c>
      <c r="T82" s="41">
        <v>2.5582962042910968</v>
      </c>
      <c r="U82" s="39">
        <v>181370.87820691578</v>
      </c>
      <c r="V82" s="39">
        <v>191099</v>
      </c>
      <c r="W82" s="41">
        <v>2.6002570167054024</v>
      </c>
      <c r="X82" s="42">
        <v>0.27300000000000002</v>
      </c>
      <c r="Y82" s="42">
        <v>4.5999999999999999E-2</v>
      </c>
      <c r="Z82" s="42">
        <v>0.09</v>
      </c>
      <c r="AA82" s="42">
        <v>0.28499999999999998</v>
      </c>
      <c r="AB82" s="42">
        <v>0.124</v>
      </c>
      <c r="AC82" s="42">
        <v>3.1E-2</v>
      </c>
      <c r="AD82" s="42">
        <v>6.4000000000000001E-2</v>
      </c>
      <c r="AE82" s="42"/>
      <c r="AF82" s="42">
        <v>5.2999999999999999E-2</v>
      </c>
      <c r="AG82" s="42"/>
      <c r="AH82" s="42"/>
      <c r="AI82" s="42"/>
      <c r="AJ82" s="42">
        <v>3.4000000000000002E-2</v>
      </c>
      <c r="AK82" s="39"/>
      <c r="AL82" s="39"/>
      <c r="AM82" s="39"/>
      <c r="AN82" s="39"/>
      <c r="AO82" s="39"/>
      <c r="AP82" s="39"/>
      <c r="AQ82" s="39"/>
      <c r="AR82" s="39"/>
      <c r="AS82" s="42"/>
      <c r="AT82" s="42"/>
      <c r="AU82" s="42"/>
      <c r="AV82" s="42">
        <v>1</v>
      </c>
      <c r="AW82" s="42"/>
      <c r="AX82" s="42"/>
      <c r="AY82" s="42">
        <v>1</v>
      </c>
      <c r="AZ82" s="42"/>
      <c r="BA82" s="42"/>
      <c r="BB82" s="42">
        <v>1</v>
      </c>
      <c r="BC82" s="42"/>
      <c r="BD82" s="42"/>
      <c r="BE82" s="42"/>
      <c r="BF82" s="42"/>
      <c r="BG82" s="42"/>
      <c r="BH82" s="42"/>
      <c r="BI82" s="42"/>
      <c r="BJ82" s="42">
        <v>0.38200000000000001</v>
      </c>
      <c r="BK82" s="42"/>
      <c r="BL82" s="42"/>
      <c r="BM82" s="42"/>
      <c r="BN82" s="42">
        <v>0.61799999999999999</v>
      </c>
      <c r="BO82" s="42"/>
      <c r="BP82" s="27"/>
      <c r="BQ82" s="42"/>
      <c r="BR82" s="42"/>
      <c r="BS82" s="42"/>
      <c r="BT82" s="42"/>
      <c r="BU82" s="42"/>
      <c r="BV82" s="42"/>
      <c r="BW82" s="39"/>
      <c r="BX82" s="39"/>
      <c r="BY82" s="39"/>
      <c r="BZ82" s="39"/>
      <c r="CA82" s="39"/>
      <c r="CB82" s="27" t="s">
        <v>96</v>
      </c>
      <c r="CC82" s="27" t="s">
        <v>96</v>
      </c>
      <c r="CD82" s="27" t="s">
        <v>96</v>
      </c>
      <c r="CE82" s="27" t="s">
        <v>477</v>
      </c>
      <c r="CF82" s="27" t="s">
        <v>96</v>
      </c>
      <c r="CG82" s="27" t="s">
        <v>96</v>
      </c>
      <c r="CH82" s="27" t="s">
        <v>96</v>
      </c>
      <c r="CI82" s="27" t="s">
        <v>478</v>
      </c>
      <c r="CJ82" s="27" t="s">
        <v>479</v>
      </c>
      <c r="CK82" s="27"/>
      <c r="CL82" s="27" t="s">
        <v>96</v>
      </c>
      <c r="CM82" s="43" t="s">
        <v>480</v>
      </c>
      <c r="CN82" s="27" t="s">
        <v>95</v>
      </c>
      <c r="CO82" s="43"/>
      <c r="CP82" s="43"/>
      <c r="CQ82" s="43"/>
      <c r="CR82" s="43" t="s">
        <v>96</v>
      </c>
      <c r="CS82" s="43" t="s">
        <v>96</v>
      </c>
      <c r="CT82" s="43"/>
      <c r="CU82" s="43"/>
      <c r="CV82" s="43"/>
      <c r="CW82" s="43"/>
      <c r="CX82" s="43"/>
      <c r="CY82" s="43" t="s">
        <v>106</v>
      </c>
      <c r="CZ82" s="43" t="s">
        <v>198</v>
      </c>
      <c r="DA82" s="43" t="s">
        <v>1471</v>
      </c>
      <c r="DB82" s="43"/>
      <c r="DC82" s="43"/>
      <c r="DD82" s="43"/>
      <c r="DE82" s="43"/>
      <c r="DF82" s="43"/>
    </row>
    <row r="83" spans="1:110" ht="14">
      <c r="A83" s="27" t="s">
        <v>481</v>
      </c>
      <c r="B83" s="27" t="s">
        <v>1714</v>
      </c>
      <c r="C83" s="27" t="s">
        <v>482</v>
      </c>
      <c r="D83" s="27" t="s">
        <v>1650</v>
      </c>
      <c r="E83" s="27" t="s">
        <v>1650</v>
      </c>
      <c r="F83" s="39">
        <v>86455519687</v>
      </c>
      <c r="G83" s="39">
        <v>17486030</v>
      </c>
      <c r="H83" s="40">
        <v>2021</v>
      </c>
      <c r="I83" s="39">
        <v>6533833.0251463205</v>
      </c>
      <c r="J83" s="27" t="s">
        <v>94</v>
      </c>
      <c r="K83" s="41">
        <v>1.0237265061115159</v>
      </c>
      <c r="L83" s="39">
        <v>6730814.1485929862</v>
      </c>
      <c r="M83" s="39">
        <v>17711271</v>
      </c>
      <c r="N83" s="41">
        <v>1.0411780559663919</v>
      </c>
      <c r="O83" s="39">
        <v>8541307.7422176078</v>
      </c>
      <c r="P83" s="39">
        <v>19931643</v>
      </c>
      <c r="Q83" s="41">
        <v>1.1740549000081584</v>
      </c>
      <c r="R83" s="39">
        <v>11242858.853950607</v>
      </c>
      <c r="S83" s="39">
        <v>22510425</v>
      </c>
      <c r="T83" s="41">
        <v>1.3683594612061838</v>
      </c>
      <c r="U83" s="39">
        <v>14214445.009468397</v>
      </c>
      <c r="V83" s="39">
        <v>24582441</v>
      </c>
      <c r="W83" s="41">
        <v>1.5842074006176872</v>
      </c>
      <c r="X83" s="42">
        <v>0.56000000000000005</v>
      </c>
      <c r="Y83" s="42">
        <v>0.03</v>
      </c>
      <c r="Z83" s="42">
        <v>0.02</v>
      </c>
      <c r="AA83" s="42">
        <v>0.06</v>
      </c>
      <c r="AB83" s="42">
        <v>0.13</v>
      </c>
      <c r="AC83" s="42"/>
      <c r="AD83" s="42"/>
      <c r="AE83" s="42"/>
      <c r="AF83" s="42"/>
      <c r="AG83" s="42"/>
      <c r="AH83" s="42">
        <v>0.02</v>
      </c>
      <c r="AI83" s="42">
        <v>0.14000000000000001</v>
      </c>
      <c r="AJ83" s="42">
        <v>0.04</v>
      </c>
      <c r="AK83" s="39"/>
      <c r="AL83" s="39"/>
      <c r="AM83" s="39"/>
      <c r="AN83" s="39">
        <v>92000</v>
      </c>
      <c r="AO83" s="39">
        <v>16000</v>
      </c>
      <c r="AP83" s="39"/>
      <c r="AQ83" s="39">
        <v>12243</v>
      </c>
      <c r="AR83" s="39">
        <v>818600</v>
      </c>
      <c r="AS83" s="42"/>
      <c r="AT83" s="42"/>
      <c r="AU83" s="42"/>
      <c r="AV83" s="42"/>
      <c r="AW83" s="42"/>
      <c r="AX83" s="42">
        <v>0.41849999999999998</v>
      </c>
      <c r="AY83" s="42">
        <v>0.371</v>
      </c>
      <c r="AZ83" s="42">
        <v>0.41799999999999998</v>
      </c>
      <c r="BA83" s="42"/>
      <c r="BB83" s="42"/>
      <c r="BC83" s="42"/>
      <c r="BD83" s="42"/>
      <c r="BE83" s="42">
        <v>0.41899999999999998</v>
      </c>
      <c r="BF83" s="42"/>
      <c r="BG83" s="42"/>
      <c r="BH83" s="42"/>
      <c r="BI83" s="42"/>
      <c r="BJ83" s="42"/>
      <c r="BK83" s="42"/>
      <c r="BL83" s="42"/>
      <c r="BM83" s="42"/>
      <c r="BN83" s="42"/>
      <c r="BO83" s="42">
        <v>0.58099999999999996</v>
      </c>
      <c r="BP83" s="42"/>
      <c r="BQ83" s="42">
        <v>4.8839208942390397E-2</v>
      </c>
      <c r="BR83" s="42">
        <v>0.73585554600171998</v>
      </c>
      <c r="BS83" s="42">
        <v>6.0189165950128999E-2</v>
      </c>
      <c r="BT83" s="42">
        <v>2.4591573516766999E-2</v>
      </c>
      <c r="BU83" s="42">
        <v>0.11728288907996599</v>
      </c>
      <c r="BV83" s="42">
        <v>1.30696474634566E-2</v>
      </c>
      <c r="BW83" s="39"/>
      <c r="BX83" s="39"/>
      <c r="BY83" s="39"/>
      <c r="BZ83" s="39"/>
      <c r="CA83" s="39"/>
      <c r="CB83" s="27" t="s">
        <v>95</v>
      </c>
      <c r="CC83" s="27" t="s">
        <v>95</v>
      </c>
      <c r="CD83" s="27" t="s">
        <v>96</v>
      </c>
      <c r="CE83" s="27" t="s">
        <v>483</v>
      </c>
      <c r="CF83" s="27" t="s">
        <v>96</v>
      </c>
      <c r="CG83" s="27" t="s">
        <v>96</v>
      </c>
      <c r="CH83" s="27"/>
      <c r="CI83" s="27" t="s">
        <v>182</v>
      </c>
      <c r="CJ83" s="27" t="s">
        <v>123</v>
      </c>
      <c r="CK83" s="27"/>
      <c r="CL83" s="27"/>
      <c r="CM83" s="27"/>
      <c r="CN83" s="27" t="s">
        <v>95</v>
      </c>
      <c r="CO83" s="27"/>
      <c r="CP83" s="27"/>
      <c r="CQ83" s="27"/>
      <c r="CR83" s="43" t="s">
        <v>96</v>
      </c>
      <c r="CS83" s="43"/>
      <c r="CT83" s="43"/>
      <c r="CU83" s="43"/>
      <c r="CV83" s="43"/>
      <c r="CW83" s="43"/>
      <c r="CX83" s="43" t="s">
        <v>96</v>
      </c>
      <c r="CY83" s="43" t="s">
        <v>106</v>
      </c>
      <c r="CZ83" s="43" t="s">
        <v>198</v>
      </c>
      <c r="DA83" s="43" t="s">
        <v>197</v>
      </c>
      <c r="DB83" s="43"/>
      <c r="DC83" s="43"/>
      <c r="DD83" s="43"/>
      <c r="DE83" s="43"/>
      <c r="DF83" s="43"/>
    </row>
    <row r="84" spans="1:110" ht="14">
      <c r="A84" s="27" t="s">
        <v>484</v>
      </c>
      <c r="B84" s="33" t="s">
        <v>1693</v>
      </c>
      <c r="C84" s="27" t="s">
        <v>485</v>
      </c>
      <c r="D84" s="27"/>
      <c r="E84" s="27" t="s">
        <v>1651</v>
      </c>
      <c r="F84" s="44"/>
      <c r="G84" s="39">
        <v>13880879</v>
      </c>
      <c r="H84" s="40" t="s">
        <v>123</v>
      </c>
      <c r="I84" s="39" t="s">
        <v>1620</v>
      </c>
      <c r="J84" s="27"/>
      <c r="K84" s="39" t="s">
        <v>1620</v>
      </c>
      <c r="L84" s="39">
        <v>1568192.3442101427</v>
      </c>
      <c r="M84" s="39">
        <v>13880879</v>
      </c>
      <c r="N84" s="41">
        <v>0.30952055567933784</v>
      </c>
      <c r="O84" s="39">
        <v>1935833.3840865584</v>
      </c>
      <c r="P84" s="39">
        <v>16635980</v>
      </c>
      <c r="Q84" s="41">
        <v>0.31880617234971798</v>
      </c>
      <c r="R84" s="39">
        <v>2396089.7549257232</v>
      </c>
      <c r="S84" s="39">
        <v>19991541</v>
      </c>
      <c r="T84" s="41">
        <v>0.32837035752020954</v>
      </c>
      <c r="U84" s="39">
        <v>2870004.0446579657</v>
      </c>
      <c r="V84" s="39">
        <v>23248154</v>
      </c>
      <c r="W84" s="41">
        <v>0.33822146824581584</v>
      </c>
      <c r="X84" s="42">
        <v>0.57999999999999996</v>
      </c>
      <c r="Y84" s="42">
        <v>0.01</v>
      </c>
      <c r="Z84" s="42">
        <v>0.01</v>
      </c>
      <c r="AA84" s="42">
        <v>0.09</v>
      </c>
      <c r="AB84" s="42">
        <v>0.04</v>
      </c>
      <c r="AC84" s="42"/>
      <c r="AD84" s="42"/>
      <c r="AE84" s="42"/>
      <c r="AF84" s="42">
        <v>0.04</v>
      </c>
      <c r="AG84" s="42"/>
      <c r="AH84" s="42"/>
      <c r="AI84" s="42"/>
      <c r="AJ84" s="42">
        <v>0.23</v>
      </c>
      <c r="AK84" s="39"/>
      <c r="AL84" s="39">
        <v>711</v>
      </c>
      <c r="AM84" s="39"/>
      <c r="AN84" s="39">
        <v>14000</v>
      </c>
      <c r="AO84" s="39"/>
      <c r="AP84" s="39">
        <v>21644</v>
      </c>
      <c r="AQ84" s="39"/>
      <c r="AR84" s="39"/>
      <c r="AS84" s="42"/>
      <c r="AT84" s="42"/>
      <c r="AU84" s="42"/>
      <c r="AV84" s="42">
        <v>2.1000000000000001E-2</v>
      </c>
      <c r="AW84" s="42"/>
      <c r="AX84" s="42"/>
      <c r="AY84" s="42">
        <v>9.7000000000000003E-2</v>
      </c>
      <c r="AZ84" s="42"/>
      <c r="BA84" s="42"/>
      <c r="BB84" s="42">
        <v>0.23699999999999999</v>
      </c>
      <c r="BC84" s="42"/>
      <c r="BD84" s="42"/>
      <c r="BE84" s="42"/>
      <c r="BF84" s="42"/>
      <c r="BG84" s="42"/>
      <c r="BH84" s="42"/>
      <c r="BI84" s="42"/>
      <c r="BJ84" s="42">
        <v>0.05</v>
      </c>
      <c r="BK84" s="42"/>
      <c r="BL84" s="42"/>
      <c r="BM84" s="42"/>
      <c r="BN84" s="42"/>
      <c r="BO84" s="42"/>
      <c r="BP84" s="42">
        <v>0.95</v>
      </c>
      <c r="BQ84" s="42"/>
      <c r="BR84" s="42"/>
      <c r="BS84" s="42"/>
      <c r="BT84" s="42"/>
      <c r="BU84" s="42"/>
      <c r="BV84" s="42"/>
      <c r="BW84" s="39"/>
      <c r="BX84" s="39"/>
      <c r="BY84" s="39"/>
      <c r="BZ84" s="39"/>
      <c r="CA84" s="39"/>
      <c r="CB84" s="27" t="s">
        <v>95</v>
      </c>
      <c r="CC84" s="27" t="s">
        <v>96</v>
      </c>
      <c r="CD84" s="27" t="s">
        <v>96</v>
      </c>
      <c r="CE84" s="27" t="s">
        <v>486</v>
      </c>
      <c r="CF84" s="27" t="s">
        <v>96</v>
      </c>
      <c r="CG84" s="27" t="s">
        <v>96</v>
      </c>
      <c r="CH84" s="27" t="s">
        <v>95</v>
      </c>
      <c r="CI84" s="27"/>
      <c r="CJ84" s="27" t="s">
        <v>123</v>
      </c>
      <c r="CK84" s="27"/>
      <c r="CL84" s="27" t="s">
        <v>96</v>
      </c>
      <c r="CM84" s="27" t="s">
        <v>487</v>
      </c>
      <c r="CN84" s="27"/>
      <c r="CO84" s="27"/>
      <c r="CP84" s="27"/>
      <c r="CQ84" s="27"/>
      <c r="CR84" s="43"/>
      <c r="CS84" s="43"/>
      <c r="CT84" s="43"/>
      <c r="CU84" s="43"/>
      <c r="CV84" s="43"/>
      <c r="CW84" s="43"/>
      <c r="CX84" s="43"/>
      <c r="CY84" s="43"/>
      <c r="CZ84" s="43"/>
      <c r="DA84" s="43"/>
      <c r="DB84" s="43"/>
      <c r="DC84" s="43"/>
      <c r="DD84" s="43"/>
      <c r="DE84" s="43"/>
      <c r="DF84" s="43"/>
    </row>
    <row r="85" spans="1:110" ht="14">
      <c r="A85" s="27" t="s">
        <v>488</v>
      </c>
      <c r="B85" s="33" t="s">
        <v>1693</v>
      </c>
      <c r="C85" s="27" t="s">
        <v>489</v>
      </c>
      <c r="D85" s="27"/>
      <c r="E85" s="27" t="s">
        <v>93</v>
      </c>
      <c r="F85" s="44"/>
      <c r="G85" s="39">
        <v>2081768</v>
      </c>
      <c r="H85" s="40" t="s">
        <v>123</v>
      </c>
      <c r="I85" s="39" t="s">
        <v>1620</v>
      </c>
      <c r="J85" s="27"/>
      <c r="K85" s="39" t="s">
        <v>1620</v>
      </c>
      <c r="L85" s="39">
        <v>151577.41564586436</v>
      </c>
      <c r="M85" s="39">
        <v>2081768</v>
      </c>
      <c r="N85" s="41">
        <v>0.19948456831433056</v>
      </c>
      <c r="O85" s="39">
        <v>218230.70331796334</v>
      </c>
      <c r="P85" s="39">
        <v>2465180</v>
      </c>
      <c r="Q85" s="41">
        <v>0.24253496209503317</v>
      </c>
      <c r="R85" s="39">
        <v>268630.40605722123</v>
      </c>
      <c r="S85" s="39">
        <v>2946122</v>
      </c>
      <c r="T85" s="41">
        <v>0.24981101095788416</v>
      </c>
      <c r="U85" s="39">
        <v>320819.34306140675</v>
      </c>
      <c r="V85" s="39">
        <v>3416008</v>
      </c>
      <c r="W85" s="41">
        <v>0.25730534128662069</v>
      </c>
      <c r="X85" s="42"/>
      <c r="Y85" s="42"/>
      <c r="Z85" s="42"/>
      <c r="AA85" s="42"/>
      <c r="AB85" s="42"/>
      <c r="AC85" s="42"/>
      <c r="AD85" s="42"/>
      <c r="AE85" s="42"/>
      <c r="AF85" s="42"/>
      <c r="AG85" s="42"/>
      <c r="AH85" s="42"/>
      <c r="AI85" s="42"/>
      <c r="AJ85" s="42"/>
      <c r="AK85" s="39"/>
      <c r="AL85" s="39"/>
      <c r="AM85" s="39"/>
      <c r="AN85" s="39">
        <v>1000</v>
      </c>
      <c r="AO85" s="39"/>
      <c r="AP85" s="39"/>
      <c r="AQ85" s="39"/>
      <c r="AR85" s="39"/>
      <c r="AS85" s="42"/>
      <c r="AT85" s="42"/>
      <c r="AU85" s="42"/>
      <c r="AV85" s="42"/>
      <c r="AW85" s="42"/>
      <c r="AX85" s="42"/>
      <c r="AY85" s="42"/>
      <c r="AZ85" s="42"/>
      <c r="BA85" s="42"/>
      <c r="BB85" s="42"/>
      <c r="BC85" s="42">
        <v>0.33</v>
      </c>
      <c r="BD85" s="42"/>
      <c r="BE85" s="42"/>
      <c r="BF85" s="42"/>
      <c r="BG85" s="42"/>
      <c r="BH85" s="42"/>
      <c r="BI85" s="42"/>
      <c r="BJ85" s="42"/>
      <c r="BK85" s="42"/>
      <c r="BL85" s="42"/>
      <c r="BM85" s="42"/>
      <c r="BN85" s="42"/>
      <c r="BO85" s="42"/>
      <c r="BP85" s="42"/>
      <c r="BQ85" s="42">
        <v>0.57513513513513503</v>
      </c>
      <c r="BR85" s="42">
        <v>0.39675675675675698</v>
      </c>
      <c r="BS85" s="42"/>
      <c r="BT85" s="42"/>
      <c r="BU85" s="42"/>
      <c r="BV85" s="42">
        <v>2.8108108108108099E-2</v>
      </c>
      <c r="BW85" s="39"/>
      <c r="BX85" s="39"/>
      <c r="BY85" s="39"/>
      <c r="BZ85" s="39"/>
      <c r="CA85" s="39"/>
      <c r="CB85" s="27" t="s">
        <v>95</v>
      </c>
      <c r="CC85" s="27" t="s">
        <v>95</v>
      </c>
      <c r="CD85" s="27" t="s">
        <v>95</v>
      </c>
      <c r="CE85" s="27"/>
      <c r="CF85" s="27"/>
      <c r="CG85" s="27" t="s">
        <v>96</v>
      </c>
      <c r="CH85" s="27" t="s">
        <v>95</v>
      </c>
      <c r="CI85" s="27" t="s">
        <v>95</v>
      </c>
      <c r="CJ85" s="27" t="s">
        <v>123</v>
      </c>
      <c r="CK85" s="27" t="s">
        <v>95</v>
      </c>
      <c r="CL85" s="27" t="s">
        <v>96</v>
      </c>
      <c r="CM85" s="27" t="s">
        <v>490</v>
      </c>
      <c r="CN85" s="27"/>
      <c r="CO85" s="27"/>
      <c r="CP85" s="27"/>
      <c r="CQ85" s="27"/>
      <c r="CR85" s="43"/>
      <c r="CS85" s="43"/>
      <c r="CT85" s="43"/>
      <c r="CU85" s="43"/>
      <c r="CV85" s="43"/>
      <c r="CW85" s="43"/>
      <c r="CX85" s="43"/>
      <c r="CY85" s="43"/>
      <c r="CZ85" s="43"/>
      <c r="DA85" s="43"/>
      <c r="DB85" s="43"/>
      <c r="DC85" s="43"/>
      <c r="DD85" s="43"/>
      <c r="DE85" s="43"/>
      <c r="DF85" s="43"/>
    </row>
    <row r="86" spans="1:110" ht="14">
      <c r="A86" s="27" t="s">
        <v>491</v>
      </c>
      <c r="B86" s="27" t="s">
        <v>1714</v>
      </c>
      <c r="C86" s="27" t="s">
        <v>492</v>
      </c>
      <c r="D86" s="27" t="s">
        <v>1650</v>
      </c>
      <c r="E86" s="27" t="s">
        <v>122</v>
      </c>
      <c r="F86" s="39">
        <v>8041362110.3100004</v>
      </c>
      <c r="G86" s="39">
        <v>811764</v>
      </c>
      <c r="H86" s="40">
        <v>2021</v>
      </c>
      <c r="I86" s="39">
        <v>250353.25727500001</v>
      </c>
      <c r="J86" s="27" t="s">
        <v>94</v>
      </c>
      <c r="K86" s="41">
        <v>0.84494919089784726</v>
      </c>
      <c r="L86" s="39">
        <v>260225.96470214304</v>
      </c>
      <c r="M86" s="39">
        <v>819200</v>
      </c>
      <c r="N86" s="41">
        <v>0.8702976666247827</v>
      </c>
      <c r="O86" s="39">
        <v>280879.14209738607</v>
      </c>
      <c r="P86" s="39">
        <v>858463</v>
      </c>
      <c r="Q86" s="41">
        <v>0.89640659662352618</v>
      </c>
      <c r="R86" s="39">
        <v>318156.00726267538</v>
      </c>
      <c r="S86" s="39">
        <v>905452</v>
      </c>
      <c r="T86" s="41">
        <v>0.9626797377114894</v>
      </c>
      <c r="U86" s="39">
        <v>334235.55504053901</v>
      </c>
      <c r="V86" s="39">
        <v>939377</v>
      </c>
      <c r="W86" s="41">
        <v>0.97480974031313772</v>
      </c>
      <c r="X86" s="42">
        <v>0.501</v>
      </c>
      <c r="Y86" s="42">
        <v>4.7E-2</v>
      </c>
      <c r="Z86" s="42">
        <v>4.2000000000000003E-2</v>
      </c>
      <c r="AA86" s="42">
        <v>0.107</v>
      </c>
      <c r="AB86" s="42">
        <v>0.14199999999999999</v>
      </c>
      <c r="AC86" s="42">
        <v>1.4999999999999999E-2</v>
      </c>
      <c r="AD86" s="42">
        <v>2.5000000000000001E-2</v>
      </c>
      <c r="AE86" s="42"/>
      <c r="AF86" s="42">
        <v>5.2999999999999999E-2</v>
      </c>
      <c r="AG86" s="42"/>
      <c r="AH86" s="42"/>
      <c r="AI86" s="42">
        <v>5.6000000000000001E-2</v>
      </c>
      <c r="AJ86" s="42">
        <v>1.2E-2</v>
      </c>
      <c r="AK86" s="39"/>
      <c r="AL86" s="39"/>
      <c r="AM86" s="39"/>
      <c r="AN86" s="39">
        <v>7000</v>
      </c>
      <c r="AO86" s="39">
        <v>741.78</v>
      </c>
      <c r="AP86" s="39"/>
      <c r="AQ86" s="39"/>
      <c r="AR86" s="39"/>
      <c r="AS86" s="42"/>
      <c r="AT86" s="42"/>
      <c r="AU86" s="42"/>
      <c r="AV86" s="42"/>
      <c r="AW86" s="42"/>
      <c r="AX86" s="42"/>
      <c r="AY86" s="42"/>
      <c r="AZ86" s="42">
        <v>0.55000000000000004</v>
      </c>
      <c r="BA86" s="42"/>
      <c r="BB86" s="42"/>
      <c r="BC86" s="42"/>
      <c r="BD86" s="42"/>
      <c r="BE86" s="42"/>
      <c r="BF86" s="42"/>
      <c r="BG86" s="42">
        <v>0.55000000000000004</v>
      </c>
      <c r="BH86" s="42"/>
      <c r="BI86" s="42"/>
      <c r="BJ86" s="42"/>
      <c r="BK86" s="42"/>
      <c r="BL86" s="42"/>
      <c r="BM86" s="42"/>
      <c r="BN86" s="42"/>
      <c r="BO86" s="42">
        <v>0.45</v>
      </c>
      <c r="BP86" s="42"/>
      <c r="BQ86" s="42"/>
      <c r="BR86" s="42"/>
      <c r="BS86" s="42"/>
      <c r="BT86" s="42"/>
      <c r="BU86" s="42"/>
      <c r="BV86" s="42"/>
      <c r="BW86" s="39"/>
      <c r="BX86" s="39"/>
      <c r="BY86" s="39"/>
      <c r="BZ86" s="39"/>
      <c r="CA86" s="39"/>
      <c r="CB86" s="27" t="s">
        <v>95</v>
      </c>
      <c r="CC86" s="27" t="s">
        <v>96</v>
      </c>
      <c r="CD86" s="27" t="s">
        <v>96</v>
      </c>
      <c r="CE86" s="27" t="s">
        <v>493</v>
      </c>
      <c r="CF86" s="27" t="s">
        <v>96</v>
      </c>
      <c r="CG86" s="27" t="s">
        <v>96</v>
      </c>
      <c r="CH86" s="27"/>
      <c r="CI86" s="27"/>
      <c r="CJ86" s="27" t="s">
        <v>1607</v>
      </c>
      <c r="CK86" s="27"/>
      <c r="CL86" s="27"/>
      <c r="CM86" s="27"/>
      <c r="CN86" s="27" t="s">
        <v>95</v>
      </c>
      <c r="CO86" s="27"/>
      <c r="CP86" s="27"/>
      <c r="CQ86" s="27"/>
      <c r="CR86" s="43" t="s">
        <v>96</v>
      </c>
      <c r="CS86" s="43"/>
      <c r="CT86" s="43"/>
      <c r="CU86" s="43"/>
      <c r="CV86" s="43"/>
      <c r="CW86" s="43"/>
      <c r="CX86" s="43" t="s">
        <v>96</v>
      </c>
      <c r="CY86" s="43" t="s">
        <v>106</v>
      </c>
      <c r="CZ86" s="43" t="s">
        <v>198</v>
      </c>
      <c r="DA86" s="43" t="s">
        <v>1471</v>
      </c>
      <c r="DB86" s="43"/>
      <c r="DC86" s="43"/>
      <c r="DD86" s="43"/>
      <c r="DE86" s="43"/>
      <c r="DF86" s="43"/>
    </row>
    <row r="87" spans="1:110" ht="14">
      <c r="A87" s="27" t="s">
        <v>494</v>
      </c>
      <c r="B87" s="27" t="s">
        <v>1714</v>
      </c>
      <c r="C87" s="27" t="s">
        <v>495</v>
      </c>
      <c r="D87" s="27" t="s">
        <v>1651</v>
      </c>
      <c r="E87" s="27" t="s">
        <v>1651</v>
      </c>
      <c r="F87" s="39">
        <v>20877414952.639999</v>
      </c>
      <c r="G87" s="39">
        <v>11311562</v>
      </c>
      <c r="H87" s="40">
        <v>2021</v>
      </c>
      <c r="I87" s="39">
        <v>2799501.7762000002</v>
      </c>
      <c r="J87" s="27" t="s">
        <v>94</v>
      </c>
      <c r="K87" s="41">
        <v>0.6780555930295038</v>
      </c>
      <c r="L87" s="39">
        <v>2759481.9218985578</v>
      </c>
      <c r="M87" s="39">
        <v>11437610</v>
      </c>
      <c r="N87" s="41">
        <v>0.66099687290943587</v>
      </c>
      <c r="O87" s="39">
        <v>2967926.2635416873</v>
      </c>
      <c r="P87" s="39">
        <v>12489161</v>
      </c>
      <c r="Q87" s="41">
        <v>0.65106894143017779</v>
      </c>
      <c r="R87" s="39">
        <v>3348303.7295739967</v>
      </c>
      <c r="S87" s="39">
        <v>13679423</v>
      </c>
      <c r="T87" s="41">
        <v>0.67060100967308311</v>
      </c>
      <c r="U87" s="39">
        <v>3698040.3710501944</v>
      </c>
      <c r="V87" s="39">
        <v>14668218</v>
      </c>
      <c r="W87" s="41">
        <v>0.69071903996327566</v>
      </c>
      <c r="X87" s="42">
        <v>0.61299999999999999</v>
      </c>
      <c r="Y87" s="42">
        <v>1.6E-2</v>
      </c>
      <c r="Z87" s="42">
        <v>2.5000000000000001E-2</v>
      </c>
      <c r="AA87" s="42">
        <v>4.1000000000000002E-2</v>
      </c>
      <c r="AB87" s="42">
        <v>0.127</v>
      </c>
      <c r="AC87" s="42"/>
      <c r="AD87" s="42">
        <v>0.01</v>
      </c>
      <c r="AE87" s="42"/>
      <c r="AF87" s="42">
        <v>8.3000000000000004E-2</v>
      </c>
      <c r="AG87" s="42"/>
      <c r="AH87" s="42">
        <v>3.0000000000000001E-3</v>
      </c>
      <c r="AI87" s="42">
        <v>3.4000000000000002E-2</v>
      </c>
      <c r="AJ87" s="42">
        <v>4.8000000000000001E-2</v>
      </c>
      <c r="AK87" s="39"/>
      <c r="AL87" s="39"/>
      <c r="AM87" s="39"/>
      <c r="AN87" s="39">
        <v>12000</v>
      </c>
      <c r="AO87" s="39"/>
      <c r="AP87" s="39"/>
      <c r="AQ87" s="39"/>
      <c r="AR87" s="39"/>
      <c r="AS87" s="42">
        <v>0.27</v>
      </c>
      <c r="AT87" s="42">
        <v>0.73</v>
      </c>
      <c r="AU87" s="42"/>
      <c r="AV87" s="42"/>
      <c r="AW87" s="42"/>
      <c r="AX87" s="42"/>
      <c r="AY87" s="42"/>
      <c r="AZ87" s="42">
        <v>0.43</v>
      </c>
      <c r="BA87" s="42"/>
      <c r="BB87" s="42"/>
      <c r="BC87" s="42"/>
      <c r="BD87" s="42">
        <v>0.43</v>
      </c>
      <c r="BE87" s="42"/>
      <c r="BF87" s="42"/>
      <c r="BG87" s="42"/>
      <c r="BH87" s="42"/>
      <c r="BI87" s="42"/>
      <c r="BJ87" s="42"/>
      <c r="BK87" s="42"/>
      <c r="BL87" s="42"/>
      <c r="BM87" s="42"/>
      <c r="BN87" s="42"/>
      <c r="BO87" s="42">
        <v>0.56999999999999995</v>
      </c>
      <c r="BP87" s="42"/>
      <c r="BQ87" s="42"/>
      <c r="BR87" s="42"/>
      <c r="BS87" s="42"/>
      <c r="BT87" s="42"/>
      <c r="BU87" s="42"/>
      <c r="BV87" s="42"/>
      <c r="BW87" s="39"/>
      <c r="BX87" s="39"/>
      <c r="BY87" s="39"/>
      <c r="BZ87" s="39"/>
      <c r="CA87" s="39"/>
      <c r="CB87" s="27" t="s">
        <v>95</v>
      </c>
      <c r="CC87" s="27" t="s">
        <v>95</v>
      </c>
      <c r="CD87" s="27" t="s">
        <v>96</v>
      </c>
      <c r="CE87" s="27" t="s">
        <v>496</v>
      </c>
      <c r="CF87" s="27" t="s">
        <v>96</v>
      </c>
      <c r="CG87" s="27" t="s">
        <v>96</v>
      </c>
      <c r="CH87" s="27"/>
      <c r="CI87" s="27"/>
      <c r="CJ87" s="27" t="s">
        <v>123</v>
      </c>
      <c r="CK87" s="27"/>
      <c r="CL87" s="27" t="s">
        <v>96</v>
      </c>
      <c r="CM87" s="43" t="s">
        <v>497</v>
      </c>
      <c r="CN87" s="27" t="s">
        <v>95</v>
      </c>
      <c r="CO87" s="27"/>
      <c r="CP87" s="27" t="s">
        <v>95</v>
      </c>
      <c r="CQ87" s="27"/>
      <c r="CR87" s="43"/>
      <c r="CS87" s="43"/>
      <c r="CT87" s="43"/>
      <c r="CU87" s="43"/>
      <c r="CV87" s="43"/>
      <c r="CW87" s="43"/>
      <c r="CX87" s="43"/>
      <c r="CY87" s="43"/>
      <c r="CZ87" s="43"/>
      <c r="DA87" s="43"/>
      <c r="DB87" s="43"/>
      <c r="DC87" s="43"/>
      <c r="DD87" s="43"/>
      <c r="DE87" s="43"/>
      <c r="DF87" s="43"/>
    </row>
    <row r="88" spans="1:110" ht="14">
      <c r="A88" s="27" t="s">
        <v>498</v>
      </c>
      <c r="B88" s="27" t="s">
        <v>1714</v>
      </c>
      <c r="C88" s="27" t="s">
        <v>499</v>
      </c>
      <c r="D88" s="27" t="s">
        <v>1651</v>
      </c>
      <c r="E88" s="27" t="s">
        <v>1651</v>
      </c>
      <c r="F88" s="39">
        <v>28144331506.610001</v>
      </c>
      <c r="G88" s="39">
        <v>10206319</v>
      </c>
      <c r="H88" s="40">
        <v>2021</v>
      </c>
      <c r="I88" s="39">
        <v>3234671.2206258299</v>
      </c>
      <c r="J88" s="27" t="s">
        <v>94</v>
      </c>
      <c r="K88" s="41">
        <v>0.8682966829883968</v>
      </c>
      <c r="L88" s="39">
        <v>3354537.5450182515</v>
      </c>
      <c r="M88" s="39">
        <v>10373434</v>
      </c>
      <c r="N88" s="41">
        <v>0.88596638509174608</v>
      </c>
      <c r="O88" s="39">
        <v>4467472.2748298105</v>
      </c>
      <c r="P88" s="39">
        <v>11799662</v>
      </c>
      <c r="Q88" s="41">
        <v>1.0372881924945712</v>
      </c>
      <c r="R88" s="39">
        <v>6330487.8250194071</v>
      </c>
      <c r="S88" s="39">
        <v>13410505</v>
      </c>
      <c r="T88" s="41">
        <v>1.2932997124513315</v>
      </c>
      <c r="U88" s="39">
        <v>8836047.2130709887</v>
      </c>
      <c r="V88" s="39">
        <v>14785303</v>
      </c>
      <c r="W88" s="41">
        <v>1.6373251551869861</v>
      </c>
      <c r="X88" s="42">
        <v>0.57999999999999996</v>
      </c>
      <c r="Y88" s="42">
        <v>0.01</v>
      </c>
      <c r="Z88" s="42">
        <v>0.02</v>
      </c>
      <c r="AA88" s="42">
        <v>0.18</v>
      </c>
      <c r="AB88" s="42">
        <v>0.15</v>
      </c>
      <c r="AC88" s="42"/>
      <c r="AD88" s="42"/>
      <c r="AE88" s="42">
        <v>0.01</v>
      </c>
      <c r="AF88" s="42">
        <v>0.03</v>
      </c>
      <c r="AG88" s="42"/>
      <c r="AH88" s="42"/>
      <c r="AI88" s="42"/>
      <c r="AJ88" s="42">
        <v>0.02</v>
      </c>
      <c r="AK88" s="39"/>
      <c r="AL88" s="39">
        <v>900000</v>
      </c>
      <c r="AM88" s="39"/>
      <c r="AN88" s="39">
        <v>36000</v>
      </c>
      <c r="AO88" s="39">
        <v>22.53</v>
      </c>
      <c r="AP88" s="39">
        <v>33422</v>
      </c>
      <c r="AQ88" s="39"/>
      <c r="AR88" s="39">
        <v>6652</v>
      </c>
      <c r="AS88" s="42"/>
      <c r="AT88" s="42"/>
      <c r="AU88" s="42"/>
      <c r="AV88" s="42"/>
      <c r="AW88" s="42"/>
      <c r="AX88" s="42">
        <v>0.46850000000000003</v>
      </c>
      <c r="AY88" s="42">
        <v>0.64600000000000002</v>
      </c>
      <c r="AZ88" s="42">
        <v>0.52610000000000001</v>
      </c>
      <c r="BA88" s="42"/>
      <c r="BB88" s="42"/>
      <c r="BC88" s="42"/>
      <c r="BD88" s="42">
        <v>0.30299999999999999</v>
      </c>
      <c r="BE88" s="42">
        <v>0.14680000000000001</v>
      </c>
      <c r="BF88" s="42">
        <v>7.6300000000000007E-2</v>
      </c>
      <c r="BG88" s="42"/>
      <c r="BH88" s="42"/>
      <c r="BI88" s="42"/>
      <c r="BJ88" s="42"/>
      <c r="BK88" s="42"/>
      <c r="BL88" s="42"/>
      <c r="BM88" s="42"/>
      <c r="BN88" s="42"/>
      <c r="BO88" s="42">
        <v>0.47389999999999999</v>
      </c>
      <c r="BP88" s="42"/>
      <c r="BQ88" s="42">
        <v>0.14468485418626501</v>
      </c>
      <c r="BR88" s="42">
        <v>0.77892756349952996</v>
      </c>
      <c r="BS88" s="42">
        <v>5.4374412041392303E-2</v>
      </c>
      <c r="BT88" s="42"/>
      <c r="BU88" s="42">
        <v>7.33772342427093E-3</v>
      </c>
      <c r="BV88" s="42">
        <v>1.4863593603010299E-2</v>
      </c>
      <c r="BW88" s="39"/>
      <c r="BX88" s="39"/>
      <c r="BY88" s="39">
        <v>50000</v>
      </c>
      <c r="BZ88" s="39"/>
      <c r="CA88" s="39"/>
      <c r="CB88" s="27" t="s">
        <v>95</v>
      </c>
      <c r="CC88" s="27" t="s">
        <v>96</v>
      </c>
      <c r="CD88" s="27"/>
      <c r="CE88" s="27" t="s">
        <v>500</v>
      </c>
      <c r="CF88" s="27" t="s">
        <v>96</v>
      </c>
      <c r="CG88" s="27" t="s">
        <v>96</v>
      </c>
      <c r="CH88" s="27"/>
      <c r="CI88" s="27"/>
      <c r="CJ88" s="27" t="s">
        <v>123</v>
      </c>
      <c r="CK88" s="27"/>
      <c r="CL88" s="27"/>
      <c r="CM88" s="27"/>
      <c r="CN88" s="27" t="s">
        <v>95</v>
      </c>
      <c r="CO88" s="27"/>
      <c r="CP88" s="27"/>
      <c r="CQ88" s="27"/>
      <c r="CR88" s="43" t="s">
        <v>96</v>
      </c>
      <c r="CS88" s="43"/>
      <c r="CT88" s="43"/>
      <c r="CU88" s="43"/>
      <c r="CV88" s="43"/>
      <c r="CW88" s="43"/>
      <c r="CX88" s="43" t="s">
        <v>96</v>
      </c>
      <c r="CY88" s="43" t="s">
        <v>106</v>
      </c>
      <c r="CZ88" s="43" t="s">
        <v>198</v>
      </c>
      <c r="DA88" s="43" t="s">
        <v>197</v>
      </c>
      <c r="DB88" s="43"/>
      <c r="DC88" s="43"/>
      <c r="DD88" s="43"/>
      <c r="DE88" s="43"/>
      <c r="DF88" s="43"/>
    </row>
    <row r="89" spans="1:110" ht="14">
      <c r="A89" s="27" t="s">
        <v>501</v>
      </c>
      <c r="B89" s="47" t="s">
        <v>1712</v>
      </c>
      <c r="C89" s="27" t="s">
        <v>502</v>
      </c>
      <c r="D89" s="27" t="s">
        <v>122</v>
      </c>
      <c r="E89" s="27" t="s">
        <v>122</v>
      </c>
      <c r="F89" s="39">
        <v>358679533985</v>
      </c>
      <c r="G89" s="39">
        <v>7479439</v>
      </c>
      <c r="H89" s="40">
        <v>2022</v>
      </c>
      <c r="I89" s="39">
        <v>5975150</v>
      </c>
      <c r="J89" s="27" t="s">
        <v>102</v>
      </c>
      <c r="K89" s="41">
        <v>2.1887034539091421</v>
      </c>
      <c r="L89" s="39">
        <v>5975150</v>
      </c>
      <c r="M89" s="39">
        <v>7479439</v>
      </c>
      <c r="N89" s="41">
        <v>2.1887034539091421</v>
      </c>
      <c r="O89" s="39">
        <v>6061340.6517849192</v>
      </c>
      <c r="P89" s="39">
        <v>7271722</v>
      </c>
      <c r="Q89" s="41">
        <v>2.2836974164601203</v>
      </c>
      <c r="R89" s="39">
        <v>5840948.0443747835</v>
      </c>
      <c r="S89" s="39">
        <v>6847050</v>
      </c>
      <c r="T89" s="41">
        <v>2.3371521139539979</v>
      </c>
      <c r="U89" s="39">
        <v>5232811.2421885841</v>
      </c>
      <c r="V89" s="39">
        <v>6130903</v>
      </c>
      <c r="W89" s="41">
        <v>2.3383943860604308</v>
      </c>
      <c r="X89" s="42">
        <v>0.225513167033464</v>
      </c>
      <c r="Y89" s="42">
        <v>1.6152732567383199E-2</v>
      </c>
      <c r="Z89" s="42">
        <v>0.18565559023622799</v>
      </c>
      <c r="AA89" s="42">
        <v>0.23473218245567101</v>
      </c>
      <c r="AB89" s="42">
        <v>0.164947323498155</v>
      </c>
      <c r="AC89" s="42">
        <v>1.7070701153945899E-3</v>
      </c>
      <c r="AD89" s="42">
        <v>1.4619716659832801E-2</v>
      </c>
      <c r="AE89" s="42">
        <v>1.9079018936763101E-3</v>
      </c>
      <c r="AF89" s="42">
        <v>2.6529877911014799E-2</v>
      </c>
      <c r="AG89" s="42">
        <v>8.0165351497452006E-3</v>
      </c>
      <c r="AH89" s="42">
        <v>8.0633958980109305E-3</v>
      </c>
      <c r="AI89" s="42"/>
      <c r="AJ89" s="42">
        <v>0.11215450658142501</v>
      </c>
      <c r="AK89" s="39">
        <v>1912800</v>
      </c>
      <c r="AL89" s="39"/>
      <c r="AM89" s="39">
        <v>18200725</v>
      </c>
      <c r="AN89" s="39">
        <v>161000</v>
      </c>
      <c r="AO89" s="39">
        <v>2993250</v>
      </c>
      <c r="AP89" s="39"/>
      <c r="AQ89" s="39"/>
      <c r="AR89" s="39">
        <v>5840</v>
      </c>
      <c r="AS89" s="42"/>
      <c r="AT89" s="42"/>
      <c r="AU89" s="42"/>
      <c r="AV89" s="42"/>
      <c r="AW89" s="42"/>
      <c r="AX89" s="42"/>
      <c r="AY89" s="42">
        <v>1</v>
      </c>
      <c r="AZ89" s="42"/>
      <c r="BA89" s="42"/>
      <c r="BB89" s="42">
        <v>1</v>
      </c>
      <c r="BC89" s="42"/>
      <c r="BD89" s="42"/>
      <c r="BE89" s="42"/>
      <c r="BF89" s="42">
        <v>0.68</v>
      </c>
      <c r="BG89" s="42"/>
      <c r="BH89" s="42"/>
      <c r="BI89" s="42"/>
      <c r="BJ89" s="42">
        <v>0.32</v>
      </c>
      <c r="BK89" s="42"/>
      <c r="BL89" s="42"/>
      <c r="BM89" s="42"/>
      <c r="BN89" s="42"/>
      <c r="BO89" s="42"/>
      <c r="BP89" s="42"/>
      <c r="BQ89" s="42"/>
      <c r="BR89" s="42"/>
      <c r="BS89" s="42"/>
      <c r="BT89" s="42"/>
      <c r="BU89" s="42"/>
      <c r="BV89" s="42"/>
      <c r="BW89" s="39"/>
      <c r="BX89" s="39"/>
      <c r="BY89" s="39"/>
      <c r="BZ89" s="39"/>
      <c r="CA89" s="39"/>
      <c r="CB89" s="27" t="s">
        <v>96</v>
      </c>
      <c r="CC89" s="27" t="s">
        <v>95</v>
      </c>
      <c r="CD89" s="27" t="s">
        <v>96</v>
      </c>
      <c r="CE89" s="27" t="s">
        <v>503</v>
      </c>
      <c r="CF89" s="27" t="s">
        <v>96</v>
      </c>
      <c r="CG89" s="27" t="s">
        <v>96</v>
      </c>
      <c r="CH89" s="27" t="s">
        <v>96</v>
      </c>
      <c r="CI89" s="27" t="s">
        <v>504</v>
      </c>
      <c r="CJ89" s="27" t="s">
        <v>1575</v>
      </c>
      <c r="CK89" s="27"/>
      <c r="CL89" s="27" t="s">
        <v>96</v>
      </c>
      <c r="CM89" s="27" t="s">
        <v>505</v>
      </c>
      <c r="CN89" s="27" t="s">
        <v>96</v>
      </c>
      <c r="CO89" s="27"/>
      <c r="CP89" s="27" t="s">
        <v>95</v>
      </c>
      <c r="CQ89" s="27"/>
      <c r="CR89" s="43" t="s">
        <v>96</v>
      </c>
      <c r="CS89" s="43" t="s">
        <v>96</v>
      </c>
      <c r="CT89" s="43"/>
      <c r="CU89" s="43"/>
      <c r="CV89" s="43" t="s">
        <v>96</v>
      </c>
      <c r="CW89" s="43"/>
      <c r="CX89" s="43"/>
      <c r="CY89" s="43" t="s">
        <v>106</v>
      </c>
      <c r="CZ89" s="43" t="s">
        <v>198</v>
      </c>
      <c r="DA89" s="43" t="s">
        <v>1470</v>
      </c>
      <c r="DB89" s="43" t="s">
        <v>96</v>
      </c>
      <c r="DC89" s="43" t="s">
        <v>168</v>
      </c>
      <c r="DD89" s="43" t="s">
        <v>1725</v>
      </c>
      <c r="DE89" s="43" t="s">
        <v>109</v>
      </c>
      <c r="DF89" s="43" t="s">
        <v>1471</v>
      </c>
    </row>
    <row r="90" spans="1:110" ht="14">
      <c r="A90" s="27" t="s">
        <v>506</v>
      </c>
      <c r="B90" s="27" t="s">
        <v>1713</v>
      </c>
      <c r="C90" s="27" t="s">
        <v>507</v>
      </c>
      <c r="D90" s="27" t="s">
        <v>122</v>
      </c>
      <c r="E90" s="27" t="s">
        <v>122</v>
      </c>
      <c r="F90" s="39">
        <v>177536698165</v>
      </c>
      <c r="G90" s="39">
        <v>9685406</v>
      </c>
      <c r="H90" s="40">
        <v>2022</v>
      </c>
      <c r="I90" s="39">
        <v>3911000</v>
      </c>
      <c r="J90" s="27" t="s">
        <v>102</v>
      </c>
      <c r="K90" s="41">
        <v>1.1063107208051666</v>
      </c>
      <c r="L90" s="39">
        <v>3911000</v>
      </c>
      <c r="M90" s="39">
        <v>9685406</v>
      </c>
      <c r="N90" s="41">
        <v>1.1063107208051666</v>
      </c>
      <c r="O90" s="39">
        <v>4103446.9624359449</v>
      </c>
      <c r="P90" s="39">
        <v>9467311</v>
      </c>
      <c r="Q90" s="41">
        <v>1.1874882366312871</v>
      </c>
      <c r="R90" s="39">
        <v>4183958.5491705192</v>
      </c>
      <c r="S90" s="39">
        <v>9086323</v>
      </c>
      <c r="T90" s="41">
        <v>1.2615554316871358</v>
      </c>
      <c r="U90" s="39">
        <v>4170527.044932839</v>
      </c>
      <c r="V90" s="39">
        <v>8741023</v>
      </c>
      <c r="W90" s="41">
        <v>1.3071812639054583</v>
      </c>
      <c r="X90" s="42">
        <v>0.18529999999999999</v>
      </c>
      <c r="Y90" s="42">
        <v>3.7999999999999999E-2</v>
      </c>
      <c r="Z90" s="42">
        <v>3.3300000000000003E-2</v>
      </c>
      <c r="AA90" s="42">
        <v>0.1263</v>
      </c>
      <c r="AB90" s="42">
        <v>0.14990000000000001</v>
      </c>
      <c r="AC90" s="42"/>
      <c r="AD90" s="42"/>
      <c r="AE90" s="42"/>
      <c r="AF90" s="42">
        <v>3.5200000000000002E-2</v>
      </c>
      <c r="AG90" s="42"/>
      <c r="AH90" s="42">
        <v>1.23E-2</v>
      </c>
      <c r="AI90" s="42">
        <v>6.8900000000000003E-2</v>
      </c>
      <c r="AJ90" s="42">
        <v>0.35049999999999998</v>
      </c>
      <c r="AK90" s="39"/>
      <c r="AL90" s="39">
        <v>493000</v>
      </c>
      <c r="AM90" s="39">
        <v>10840000</v>
      </c>
      <c r="AN90" s="39">
        <v>138000</v>
      </c>
      <c r="AO90" s="39">
        <v>671000</v>
      </c>
      <c r="AP90" s="39">
        <v>4516000</v>
      </c>
      <c r="AQ90" s="39"/>
      <c r="AR90" s="39">
        <v>17389</v>
      </c>
      <c r="AS90" s="42"/>
      <c r="AT90" s="42"/>
      <c r="AU90" s="42"/>
      <c r="AV90" s="42"/>
      <c r="AW90" s="42"/>
      <c r="AX90" s="42"/>
      <c r="AY90" s="42"/>
      <c r="AZ90" s="42"/>
      <c r="BA90" s="42"/>
      <c r="BB90" s="42"/>
      <c r="BC90" s="42"/>
      <c r="BD90" s="42"/>
      <c r="BE90" s="42"/>
      <c r="BF90" s="42">
        <v>0.50522</v>
      </c>
      <c r="BG90" s="42"/>
      <c r="BH90" s="42"/>
      <c r="BI90" s="42">
        <v>8.8120000000000004E-2</v>
      </c>
      <c r="BJ90" s="42">
        <v>0.23760000000000001</v>
      </c>
      <c r="BK90" s="42">
        <v>0.140816</v>
      </c>
      <c r="BL90" s="42"/>
      <c r="BM90" s="42"/>
      <c r="BN90" s="42">
        <v>2.8170000000000001E-2</v>
      </c>
      <c r="BO90" s="42"/>
      <c r="BP90" s="42"/>
      <c r="BQ90" s="42"/>
      <c r="BR90" s="42"/>
      <c r="BS90" s="42"/>
      <c r="BT90" s="42"/>
      <c r="BU90" s="42"/>
      <c r="BV90" s="42"/>
      <c r="BW90" s="39">
        <v>21304</v>
      </c>
      <c r="BX90" s="39"/>
      <c r="BY90" s="39"/>
      <c r="BZ90" s="39"/>
      <c r="CA90" s="39"/>
      <c r="CB90" s="27" t="s">
        <v>96</v>
      </c>
      <c r="CC90" s="27" t="s">
        <v>96</v>
      </c>
      <c r="CD90" s="27" t="s">
        <v>96</v>
      </c>
      <c r="CE90" s="27" t="s">
        <v>508</v>
      </c>
      <c r="CF90" s="27" t="s">
        <v>96</v>
      </c>
      <c r="CG90" s="27" t="s">
        <v>96</v>
      </c>
      <c r="CH90" s="27" t="s">
        <v>96</v>
      </c>
      <c r="CI90" s="27"/>
      <c r="CJ90" s="27" t="s">
        <v>1576</v>
      </c>
      <c r="CK90" s="27"/>
      <c r="CL90" s="27" t="s">
        <v>96</v>
      </c>
      <c r="CM90" s="27" t="s">
        <v>166</v>
      </c>
      <c r="CN90" s="27" t="s">
        <v>96</v>
      </c>
      <c r="CO90" s="27"/>
      <c r="CP90" s="27" t="s">
        <v>96</v>
      </c>
      <c r="CQ90" s="27"/>
      <c r="CR90" s="43" t="s">
        <v>96</v>
      </c>
      <c r="CS90" s="43" t="s">
        <v>96</v>
      </c>
      <c r="CT90" s="43"/>
      <c r="CU90" s="43" t="s">
        <v>96</v>
      </c>
      <c r="CV90" s="43" t="s">
        <v>96</v>
      </c>
      <c r="CW90" s="43" t="s">
        <v>96</v>
      </c>
      <c r="CX90" s="43" t="s">
        <v>96</v>
      </c>
      <c r="CY90" s="43" t="s">
        <v>1723</v>
      </c>
      <c r="CZ90" s="43" t="s">
        <v>109</v>
      </c>
      <c r="DA90" s="43" t="s">
        <v>1470</v>
      </c>
      <c r="DB90" s="43" t="s">
        <v>96</v>
      </c>
      <c r="DC90" s="43" t="s">
        <v>168</v>
      </c>
      <c r="DD90" s="43" t="s">
        <v>1472</v>
      </c>
      <c r="DE90" s="43" t="s">
        <v>109</v>
      </c>
      <c r="DF90" s="43" t="s">
        <v>1470</v>
      </c>
    </row>
    <row r="91" spans="1:110" ht="14">
      <c r="A91" s="27" t="s">
        <v>509</v>
      </c>
      <c r="B91" s="27" t="s">
        <v>1713</v>
      </c>
      <c r="C91" s="27" t="s">
        <v>510</v>
      </c>
      <c r="D91" s="27" t="s">
        <v>122</v>
      </c>
      <c r="E91" s="27" t="s">
        <v>122</v>
      </c>
      <c r="F91" s="39">
        <v>28696453180</v>
      </c>
      <c r="G91" s="39">
        <v>376336</v>
      </c>
      <c r="H91" s="40">
        <v>2022</v>
      </c>
      <c r="I91" s="39">
        <v>227000</v>
      </c>
      <c r="J91" s="27" t="s">
        <v>194</v>
      </c>
      <c r="K91" s="41">
        <v>1.6525599682708489</v>
      </c>
      <c r="L91" s="39">
        <v>227000.00000000006</v>
      </c>
      <c r="M91" s="39">
        <v>376336</v>
      </c>
      <c r="N91" s="41">
        <v>1.6525599682708489</v>
      </c>
      <c r="O91" s="39">
        <v>260308.99079633466</v>
      </c>
      <c r="P91" s="39">
        <v>413154</v>
      </c>
      <c r="Q91" s="41">
        <v>1.726173091027152</v>
      </c>
      <c r="R91" s="39">
        <v>280514.32140564901</v>
      </c>
      <c r="S91" s="39">
        <v>429034</v>
      </c>
      <c r="T91" s="41">
        <v>1.7913088179788479</v>
      </c>
      <c r="U91" s="39">
        <v>290157.18089002016</v>
      </c>
      <c r="V91" s="39">
        <v>433016</v>
      </c>
      <c r="W91" s="41">
        <v>1.8358471292529679</v>
      </c>
      <c r="X91" s="42"/>
      <c r="Y91" s="42"/>
      <c r="Z91" s="42"/>
      <c r="AA91" s="42"/>
      <c r="AB91" s="42"/>
      <c r="AC91" s="42"/>
      <c r="AD91" s="42"/>
      <c r="AE91" s="42"/>
      <c r="AF91" s="42"/>
      <c r="AG91" s="42"/>
      <c r="AH91" s="42"/>
      <c r="AI91" s="42"/>
      <c r="AJ91" s="42"/>
      <c r="AK91" s="39">
        <v>18945</v>
      </c>
      <c r="AL91" s="39">
        <v>39084</v>
      </c>
      <c r="AM91" s="39">
        <v>38032</v>
      </c>
      <c r="AN91" s="39">
        <v>8000</v>
      </c>
      <c r="AO91" s="39">
        <v>41484</v>
      </c>
      <c r="AP91" s="39">
        <v>10000</v>
      </c>
      <c r="AQ91" s="39">
        <v>0</v>
      </c>
      <c r="AR91" s="39">
        <v>412</v>
      </c>
      <c r="AS91" s="42"/>
      <c r="AT91" s="42"/>
      <c r="AU91" s="42"/>
      <c r="AV91" s="42"/>
      <c r="AW91" s="42"/>
      <c r="AX91" s="42"/>
      <c r="AY91" s="42">
        <v>1</v>
      </c>
      <c r="AZ91" s="42"/>
      <c r="BA91" s="42"/>
      <c r="BB91" s="42"/>
      <c r="BC91" s="42"/>
      <c r="BD91" s="42"/>
      <c r="BE91" s="42"/>
      <c r="BF91" s="42"/>
      <c r="BG91" s="42">
        <v>0.33039647577092501</v>
      </c>
      <c r="BH91" s="42"/>
      <c r="BI91" s="42">
        <v>2.6431718061673999E-2</v>
      </c>
      <c r="BJ91" s="42">
        <v>0.20704845814978001</v>
      </c>
      <c r="BK91" s="42">
        <v>0.154185022026432</v>
      </c>
      <c r="BL91" s="42"/>
      <c r="BM91" s="42"/>
      <c r="BN91" s="42"/>
      <c r="BO91" s="42"/>
      <c r="BP91" s="42">
        <v>0.28193832599118901</v>
      </c>
      <c r="BQ91" s="42"/>
      <c r="BR91" s="42"/>
      <c r="BS91" s="42"/>
      <c r="BT91" s="42"/>
      <c r="BU91" s="42"/>
      <c r="BV91" s="42"/>
      <c r="BW91" s="39">
        <v>740</v>
      </c>
      <c r="BX91" s="39"/>
      <c r="BY91" s="39"/>
      <c r="BZ91" s="39"/>
      <c r="CA91" s="39"/>
      <c r="CB91" s="27" t="s">
        <v>96</v>
      </c>
      <c r="CC91" s="27" t="s">
        <v>96</v>
      </c>
      <c r="CD91" s="27" t="s">
        <v>95</v>
      </c>
      <c r="CE91" s="27" t="s">
        <v>511</v>
      </c>
      <c r="CF91" s="27" t="s">
        <v>96</v>
      </c>
      <c r="CG91" s="27"/>
      <c r="CH91" s="27" t="s">
        <v>95</v>
      </c>
      <c r="CI91" s="27" t="s">
        <v>512</v>
      </c>
      <c r="CJ91" s="27" t="s">
        <v>1577</v>
      </c>
      <c r="CK91" s="27"/>
      <c r="CL91" s="27" t="s">
        <v>96</v>
      </c>
      <c r="CM91" s="27" t="s">
        <v>513</v>
      </c>
      <c r="CN91" s="27" t="s">
        <v>96</v>
      </c>
      <c r="CO91" s="27"/>
      <c r="CP91" s="27" t="s">
        <v>96</v>
      </c>
      <c r="CQ91" s="27"/>
      <c r="CR91" s="43" t="s">
        <v>96</v>
      </c>
      <c r="CS91" s="43" t="s">
        <v>96</v>
      </c>
      <c r="CT91" s="43" t="s">
        <v>96</v>
      </c>
      <c r="CU91" s="43" t="s">
        <v>96</v>
      </c>
      <c r="CV91" s="43" t="s">
        <v>96</v>
      </c>
      <c r="CW91" s="43" t="s">
        <v>96</v>
      </c>
      <c r="CX91" s="43" t="s">
        <v>96</v>
      </c>
      <c r="CY91" s="43" t="s">
        <v>1721</v>
      </c>
      <c r="CZ91" s="43" t="s">
        <v>109</v>
      </c>
      <c r="DA91" s="43" t="s">
        <v>1470</v>
      </c>
      <c r="DB91" s="43" t="s">
        <v>96</v>
      </c>
      <c r="DC91" s="43" t="s">
        <v>168</v>
      </c>
      <c r="DD91" s="43" t="s">
        <v>1472</v>
      </c>
      <c r="DE91" s="43" t="s">
        <v>109</v>
      </c>
      <c r="DF91" s="43" t="s">
        <v>1470</v>
      </c>
    </row>
    <row r="92" spans="1:110" ht="14">
      <c r="A92" s="27" t="s">
        <v>514</v>
      </c>
      <c r="B92" s="27" t="s">
        <v>1717</v>
      </c>
      <c r="C92" s="27" t="s">
        <v>515</v>
      </c>
      <c r="D92" s="27" t="s">
        <v>1651</v>
      </c>
      <c r="E92" s="27" t="s">
        <v>1651</v>
      </c>
      <c r="F92" s="39">
        <v>3167270623260</v>
      </c>
      <c r="G92" s="39">
        <v>1409264315</v>
      </c>
      <c r="H92" s="40">
        <v>2021</v>
      </c>
      <c r="I92" s="39">
        <v>202254010.156059</v>
      </c>
      <c r="J92" s="27" t="s">
        <v>94</v>
      </c>
      <c r="K92" s="41">
        <v>0.39319847233201577</v>
      </c>
      <c r="L92" s="39">
        <v>209781997.48594698</v>
      </c>
      <c r="M92" s="39">
        <v>1419143477</v>
      </c>
      <c r="N92" s="41">
        <v>0.40499442650197626</v>
      </c>
      <c r="O92" s="39">
        <v>231333564.22780535</v>
      </c>
      <c r="P92" s="39">
        <v>1519355889</v>
      </c>
      <c r="Q92" s="41">
        <v>0.41714425929703558</v>
      </c>
      <c r="R92" s="39">
        <v>308820831.24557847</v>
      </c>
      <c r="S92" s="39">
        <v>1618706679</v>
      </c>
      <c r="T92" s="41">
        <v>0.52269165262767681</v>
      </c>
      <c r="U92" s="39">
        <v>376163172.48148561</v>
      </c>
      <c r="V92" s="39">
        <v>1677686950</v>
      </c>
      <c r="W92" s="41">
        <v>0.61428863960338431</v>
      </c>
      <c r="X92" s="42">
        <v>0.45</v>
      </c>
      <c r="Y92" s="42">
        <v>1.0999999999999999E-2</v>
      </c>
      <c r="Z92" s="42">
        <v>1.0999999999999999E-2</v>
      </c>
      <c r="AA92" s="42">
        <v>7.3999999999999996E-2</v>
      </c>
      <c r="AB92" s="42">
        <v>0.161</v>
      </c>
      <c r="AC92" s="42">
        <v>1.0999999999999999E-2</v>
      </c>
      <c r="AD92" s="42"/>
      <c r="AE92" s="42"/>
      <c r="AF92" s="42">
        <v>5.2999999999999999E-2</v>
      </c>
      <c r="AG92" s="42"/>
      <c r="AH92" s="42"/>
      <c r="AI92" s="42"/>
      <c r="AJ92" s="42">
        <v>0.23200000000000001</v>
      </c>
      <c r="AK92" s="39"/>
      <c r="AL92" s="39">
        <v>620000000</v>
      </c>
      <c r="AM92" s="39">
        <v>12000000</v>
      </c>
      <c r="AN92" s="39">
        <v>1601155.36</v>
      </c>
      <c r="AO92" s="39">
        <v>12354683</v>
      </c>
      <c r="AP92" s="39"/>
      <c r="AQ92" s="39"/>
      <c r="AR92" s="39">
        <v>257401.65</v>
      </c>
      <c r="AS92" s="42"/>
      <c r="AT92" s="42"/>
      <c r="AU92" s="42"/>
      <c r="AV92" s="42"/>
      <c r="AW92" s="42"/>
      <c r="AX92" s="42"/>
      <c r="AY92" s="42"/>
      <c r="AZ92" s="42">
        <v>0.95440000000000003</v>
      </c>
      <c r="BA92" s="42"/>
      <c r="BB92" s="42"/>
      <c r="BC92" s="42"/>
      <c r="BD92" s="42"/>
      <c r="BE92" s="42"/>
      <c r="BF92" s="42"/>
      <c r="BG92" s="42">
        <v>0.184</v>
      </c>
      <c r="BH92" s="42"/>
      <c r="BI92" s="42"/>
      <c r="BJ92" s="42"/>
      <c r="BK92" s="42"/>
      <c r="BL92" s="42"/>
      <c r="BM92" s="42"/>
      <c r="BN92" s="42">
        <v>0.5</v>
      </c>
      <c r="BO92" s="42">
        <v>4.5999999999999999E-2</v>
      </c>
      <c r="BP92" s="42">
        <v>0.27100000000000002</v>
      </c>
      <c r="BQ92" s="42"/>
      <c r="BR92" s="42"/>
      <c r="BS92" s="42"/>
      <c r="BT92" s="42"/>
      <c r="BU92" s="42"/>
      <c r="BV92" s="42"/>
      <c r="BW92" s="39"/>
      <c r="BX92" s="39"/>
      <c r="BY92" s="39">
        <v>2197000</v>
      </c>
      <c r="BZ92" s="39"/>
      <c r="CA92" s="39"/>
      <c r="CB92" s="27" t="s">
        <v>96</v>
      </c>
      <c r="CC92" s="27" t="s">
        <v>96</v>
      </c>
      <c r="CD92" s="27" t="s">
        <v>96</v>
      </c>
      <c r="CE92" s="27" t="s">
        <v>516</v>
      </c>
      <c r="CF92" s="27" t="s">
        <v>96</v>
      </c>
      <c r="CG92" s="27" t="s">
        <v>96</v>
      </c>
      <c r="CH92" s="27" t="s">
        <v>96</v>
      </c>
      <c r="CI92" s="27"/>
      <c r="CJ92" s="27" t="s">
        <v>517</v>
      </c>
      <c r="CK92" s="27"/>
      <c r="CL92" s="27" t="s">
        <v>96</v>
      </c>
      <c r="CM92" s="27" t="s">
        <v>518</v>
      </c>
      <c r="CN92" s="27" t="s">
        <v>96</v>
      </c>
      <c r="CO92" s="27"/>
      <c r="CP92" s="27" t="s">
        <v>96</v>
      </c>
      <c r="CQ92" s="27"/>
      <c r="CR92" s="43" t="s">
        <v>96</v>
      </c>
      <c r="CS92" s="43" t="s">
        <v>96</v>
      </c>
      <c r="CT92" s="43"/>
      <c r="CU92" s="43"/>
      <c r="CV92" s="43" t="s">
        <v>96</v>
      </c>
      <c r="CW92" s="43" t="s">
        <v>96</v>
      </c>
      <c r="CX92" s="43" t="s">
        <v>96</v>
      </c>
      <c r="CY92" s="43" t="s">
        <v>1723</v>
      </c>
      <c r="CZ92" s="43" t="s">
        <v>109</v>
      </c>
      <c r="DA92" s="43" t="s">
        <v>1470</v>
      </c>
      <c r="DB92" s="43" t="s">
        <v>96</v>
      </c>
      <c r="DC92" s="43" t="s">
        <v>162</v>
      </c>
      <c r="DD92" s="43" t="s">
        <v>1069</v>
      </c>
      <c r="DE92" s="43" t="s">
        <v>106</v>
      </c>
      <c r="DF92" s="43" t="s">
        <v>197</v>
      </c>
    </row>
    <row r="93" spans="1:110" ht="14">
      <c r="A93" s="27" t="s">
        <v>519</v>
      </c>
      <c r="B93" s="47" t="s">
        <v>1712</v>
      </c>
      <c r="C93" s="27" t="s">
        <v>520</v>
      </c>
      <c r="D93" s="27" t="s">
        <v>1650</v>
      </c>
      <c r="E93" s="27" t="s">
        <v>1650</v>
      </c>
      <c r="F93" s="39">
        <v>1371169301564</v>
      </c>
      <c r="G93" s="39">
        <v>280026489</v>
      </c>
      <c r="H93" s="40">
        <v>2023</v>
      </c>
      <c r="I93" s="39">
        <v>55439035.886612803</v>
      </c>
      <c r="J93" s="27" t="s">
        <v>94</v>
      </c>
      <c r="K93" s="41">
        <v>0.54240500637910671</v>
      </c>
      <c r="L93" s="39">
        <v>53546427.447499178</v>
      </c>
      <c r="M93" s="39">
        <v>277634568</v>
      </c>
      <c r="N93" s="41">
        <v>0.52840156760325518</v>
      </c>
      <c r="O93" s="39">
        <v>68020062.054078445</v>
      </c>
      <c r="P93" s="39">
        <v>294942394</v>
      </c>
      <c r="Q93" s="41">
        <v>0.63183977002212666</v>
      </c>
      <c r="R93" s="39">
        <v>83503910.335683167</v>
      </c>
      <c r="S93" s="39">
        <v>311157321</v>
      </c>
      <c r="T93" s="41">
        <v>0.73524812400643547</v>
      </c>
      <c r="U93" s="39">
        <v>95755529.952033743</v>
      </c>
      <c r="V93" s="39">
        <v>320462393</v>
      </c>
      <c r="W93" s="41">
        <v>0.81864182321326162</v>
      </c>
      <c r="X93" s="42">
        <v>0.39710000000000001</v>
      </c>
      <c r="Y93" s="42">
        <v>2.46E-2</v>
      </c>
      <c r="Z93" s="42">
        <v>3.2500000000000001E-2</v>
      </c>
      <c r="AA93" s="42">
        <v>0.10780000000000001</v>
      </c>
      <c r="AB93" s="42">
        <v>0.1915</v>
      </c>
      <c r="AC93" s="42">
        <v>2.5499999999999998E-2</v>
      </c>
      <c r="AD93" s="42">
        <v>0.1205</v>
      </c>
      <c r="AE93" s="42"/>
      <c r="AF93" s="42">
        <v>2.9399999999999999E-2</v>
      </c>
      <c r="AG93" s="42"/>
      <c r="AH93" s="42"/>
      <c r="AI93" s="42"/>
      <c r="AJ93" s="42">
        <v>7.1099999999999997E-2</v>
      </c>
      <c r="AK93" s="39">
        <v>1002069</v>
      </c>
      <c r="AL93" s="39"/>
      <c r="AM93" s="39"/>
      <c r="AN93" s="39">
        <v>1886000</v>
      </c>
      <c r="AO93" s="39"/>
      <c r="AP93" s="39"/>
      <c r="AQ93" s="39"/>
      <c r="AR93" s="39"/>
      <c r="AS93" s="42"/>
      <c r="AT93" s="42"/>
      <c r="AU93" s="42"/>
      <c r="AV93" s="42"/>
      <c r="AW93" s="42"/>
      <c r="AX93" s="42"/>
      <c r="AY93" s="42"/>
      <c r="AZ93" s="42">
        <v>0.62529999999999997</v>
      </c>
      <c r="BA93" s="42"/>
      <c r="BB93" s="42"/>
      <c r="BC93" s="42"/>
      <c r="BD93" s="42">
        <v>0.120789019403838</v>
      </c>
      <c r="BE93" s="42">
        <v>0.31439798938167501</v>
      </c>
      <c r="BF93" s="42">
        <v>6.8653382415724495E-2</v>
      </c>
      <c r="BG93" s="42">
        <v>1.77046789519906E-3</v>
      </c>
      <c r="BH93" s="42"/>
      <c r="BI93" s="42">
        <v>3.11164239115185E-2</v>
      </c>
      <c r="BJ93" s="42">
        <v>8.8572716992044498E-2</v>
      </c>
      <c r="BK93" s="42"/>
      <c r="BL93" s="42"/>
      <c r="BM93" s="42"/>
      <c r="BN93" s="42"/>
      <c r="BO93" s="42">
        <v>0.37469999999999998</v>
      </c>
      <c r="BP93" s="42"/>
      <c r="BQ93" s="42">
        <v>0.127</v>
      </c>
      <c r="BR93" s="42">
        <v>0.73899999999999999</v>
      </c>
      <c r="BS93" s="42">
        <v>4.8000000000000001E-2</v>
      </c>
      <c r="BT93" s="42">
        <v>7.4999999999999997E-2</v>
      </c>
      <c r="BU93" s="42">
        <v>1.0999999999999999E-2</v>
      </c>
      <c r="BV93" s="42"/>
      <c r="BW93" s="39"/>
      <c r="BX93" s="39"/>
      <c r="BY93" s="39"/>
      <c r="BZ93" s="39"/>
      <c r="CA93" s="39"/>
      <c r="CB93" s="27" t="s">
        <v>96</v>
      </c>
      <c r="CC93" s="27" t="s">
        <v>96</v>
      </c>
      <c r="CD93" s="27" t="s">
        <v>96</v>
      </c>
      <c r="CE93" s="27" t="s">
        <v>521</v>
      </c>
      <c r="CF93" s="27" t="s">
        <v>96</v>
      </c>
      <c r="CG93" s="27" t="s">
        <v>96</v>
      </c>
      <c r="CH93" s="27" t="s">
        <v>96</v>
      </c>
      <c r="CI93" s="27" t="s">
        <v>522</v>
      </c>
      <c r="CJ93" s="27" t="s">
        <v>1546</v>
      </c>
      <c r="CK93" s="27"/>
      <c r="CL93" s="27" t="s">
        <v>96</v>
      </c>
      <c r="CM93" s="43" t="s">
        <v>523</v>
      </c>
      <c r="CN93" s="27" t="s">
        <v>96</v>
      </c>
      <c r="CO93" s="27"/>
      <c r="CP93" s="27" t="s">
        <v>96</v>
      </c>
      <c r="CQ93" s="27" t="s">
        <v>524</v>
      </c>
      <c r="CR93" s="43" t="s">
        <v>96</v>
      </c>
      <c r="CS93" s="43" t="s">
        <v>96</v>
      </c>
      <c r="CT93" s="43" t="s">
        <v>96</v>
      </c>
      <c r="CU93" s="43"/>
      <c r="CV93" s="43"/>
      <c r="CW93" s="43"/>
      <c r="CX93" s="43"/>
      <c r="CY93" s="43" t="s">
        <v>106</v>
      </c>
      <c r="CZ93" s="43" t="s">
        <v>109</v>
      </c>
      <c r="DA93" s="43" t="s">
        <v>1470</v>
      </c>
      <c r="DB93" s="43"/>
      <c r="DC93" s="43"/>
      <c r="DD93" s="43"/>
      <c r="DE93" s="43"/>
      <c r="DF93" s="43"/>
    </row>
    <row r="94" spans="1:110" ht="14">
      <c r="A94" s="27" t="s">
        <v>525</v>
      </c>
      <c r="B94" t="s">
        <v>1715</v>
      </c>
      <c r="C94" s="27" t="s">
        <v>526</v>
      </c>
      <c r="D94" s="27" t="s">
        <v>1651</v>
      </c>
      <c r="E94" s="27" t="s">
        <v>1651</v>
      </c>
      <c r="F94" s="39">
        <v>394362621793</v>
      </c>
      <c r="G94" s="39">
        <v>88945856</v>
      </c>
      <c r="H94" s="40">
        <v>2022</v>
      </c>
      <c r="I94" s="39">
        <v>20453099.587200001</v>
      </c>
      <c r="J94" s="27" t="s">
        <v>94</v>
      </c>
      <c r="K94" s="41">
        <v>0.63</v>
      </c>
      <c r="L94" s="39">
        <v>20453099.587200001</v>
      </c>
      <c r="M94" s="39">
        <v>88945856</v>
      </c>
      <c r="N94" s="41">
        <v>0.63</v>
      </c>
      <c r="O94" s="39">
        <v>23946594.026515659</v>
      </c>
      <c r="P94" s="39">
        <v>95245110</v>
      </c>
      <c r="Q94" s="41">
        <v>0.68882388735716416</v>
      </c>
      <c r="R94" s="39">
        <v>27049896.524597384</v>
      </c>
      <c r="S94" s="39">
        <v>99355945</v>
      </c>
      <c r="T94" s="41">
        <v>0.74589704266656753</v>
      </c>
      <c r="U94" s="39">
        <v>29358465.906733006</v>
      </c>
      <c r="V94" s="39">
        <v>101812773</v>
      </c>
      <c r="W94" s="41">
        <v>0.79002025776403839</v>
      </c>
      <c r="X94" s="42">
        <v>0.72040000000000004</v>
      </c>
      <c r="Y94" s="42">
        <v>2.0299999999999999E-2</v>
      </c>
      <c r="Z94" s="42">
        <v>2.52E-2</v>
      </c>
      <c r="AA94" s="42">
        <v>6.4299999999999996E-2</v>
      </c>
      <c r="AB94" s="42">
        <v>7.7700000000000005E-2</v>
      </c>
      <c r="AC94" s="42">
        <v>1.14E-2</v>
      </c>
      <c r="AD94" s="42">
        <v>1.0999999999999999E-2</v>
      </c>
      <c r="AE94" s="42"/>
      <c r="AF94" s="42">
        <v>2.86E-2</v>
      </c>
      <c r="AG94" s="42"/>
      <c r="AH94" s="42"/>
      <c r="AI94" s="42"/>
      <c r="AJ94" s="42">
        <v>4.1099999999999998E-2</v>
      </c>
      <c r="AK94" s="39"/>
      <c r="AL94" s="39"/>
      <c r="AM94" s="39"/>
      <c r="AN94" s="39"/>
      <c r="AO94" s="39"/>
      <c r="AP94" s="39"/>
      <c r="AQ94" s="39"/>
      <c r="AR94" s="39"/>
      <c r="AS94" s="42"/>
      <c r="AT94" s="42"/>
      <c r="AU94" s="42"/>
      <c r="AV94" s="42"/>
      <c r="AW94" s="42"/>
      <c r="AX94" s="42"/>
      <c r="AY94" s="42"/>
      <c r="AZ94" s="42"/>
      <c r="BA94" s="42"/>
      <c r="BB94" s="42"/>
      <c r="BC94" s="42"/>
      <c r="BD94" s="42">
        <v>0.65400000000000003</v>
      </c>
      <c r="BE94" s="42">
        <v>0.224</v>
      </c>
      <c r="BF94" s="42"/>
      <c r="BG94" s="42"/>
      <c r="BH94" s="42"/>
      <c r="BI94" s="42">
        <v>7.2999999999999995E-2</v>
      </c>
      <c r="BJ94" s="42">
        <v>4.2999999999999997E-2</v>
      </c>
      <c r="BK94" s="42"/>
      <c r="BL94" s="42"/>
      <c r="BM94" s="42"/>
      <c r="BN94" s="42"/>
      <c r="BO94" s="42"/>
      <c r="BP94" s="42">
        <v>3.0000000000000001E-3</v>
      </c>
      <c r="BQ94" s="42"/>
      <c r="BR94" s="42"/>
      <c r="BS94" s="42"/>
      <c r="BT94" s="42"/>
      <c r="BU94" s="42"/>
      <c r="BV94" s="42"/>
      <c r="BW94" s="39"/>
      <c r="BX94" s="39"/>
      <c r="BY94" s="39"/>
      <c r="BZ94" s="39"/>
      <c r="CA94" s="39"/>
      <c r="CB94" s="27" t="s">
        <v>95</v>
      </c>
      <c r="CC94" s="27" t="s">
        <v>95</v>
      </c>
      <c r="CD94" s="27" t="s">
        <v>95</v>
      </c>
      <c r="CE94" s="27" t="s">
        <v>95</v>
      </c>
      <c r="CF94" s="27" t="s">
        <v>96</v>
      </c>
      <c r="CG94" s="27" t="s">
        <v>95</v>
      </c>
      <c r="CH94" s="27" t="s">
        <v>95</v>
      </c>
      <c r="CI94" s="27" t="s">
        <v>95</v>
      </c>
      <c r="CJ94" s="27" t="s">
        <v>123</v>
      </c>
      <c r="CK94" s="27"/>
      <c r="CL94" s="27" t="s">
        <v>96</v>
      </c>
      <c r="CM94" s="27" t="s">
        <v>527</v>
      </c>
      <c r="CN94" s="27" t="s">
        <v>95</v>
      </c>
      <c r="CO94" s="27"/>
      <c r="CP94" s="27" t="s">
        <v>95</v>
      </c>
      <c r="CQ94" s="27"/>
      <c r="CR94" s="43" t="s">
        <v>96</v>
      </c>
      <c r="CS94" s="43"/>
      <c r="CT94" s="43"/>
      <c r="CU94" s="43"/>
      <c r="CV94" s="43"/>
      <c r="CW94" s="43"/>
      <c r="CX94" s="43" t="s">
        <v>96</v>
      </c>
      <c r="CY94" s="43" t="s">
        <v>1721</v>
      </c>
      <c r="CZ94" s="43" t="s">
        <v>148</v>
      </c>
      <c r="DA94" s="43" t="s">
        <v>197</v>
      </c>
      <c r="DB94" s="43"/>
      <c r="DC94" s="43"/>
      <c r="DD94" s="43"/>
      <c r="DE94" s="43"/>
      <c r="DF94" s="43"/>
    </row>
    <row r="95" spans="1:110" ht="14">
      <c r="A95" s="27" t="s">
        <v>528</v>
      </c>
      <c r="B95" t="s">
        <v>1715</v>
      </c>
      <c r="C95" s="27" t="s">
        <v>529</v>
      </c>
      <c r="D95" s="27" t="s">
        <v>1650</v>
      </c>
      <c r="E95" s="27" t="s">
        <v>1650</v>
      </c>
      <c r="F95" s="39">
        <v>233636097800.34</v>
      </c>
      <c r="G95" s="39">
        <v>40742646</v>
      </c>
      <c r="H95" s="40">
        <v>2019</v>
      </c>
      <c r="I95" s="39">
        <v>18039760</v>
      </c>
      <c r="J95" s="27" t="s">
        <v>94</v>
      </c>
      <c r="K95" s="41">
        <v>1.2130778153191129</v>
      </c>
      <c r="L95" s="39">
        <v>18034279.312216334</v>
      </c>
      <c r="M95" s="39">
        <v>43550907</v>
      </c>
      <c r="N95" s="41">
        <v>1.134511031355353</v>
      </c>
      <c r="O95" s="39">
        <v>21262695.152067404</v>
      </c>
      <c r="P95" s="39">
        <v>51440155</v>
      </c>
      <c r="Q95" s="41">
        <v>1.1324608046132951</v>
      </c>
      <c r="R95" s="39">
        <v>26270576.271778207</v>
      </c>
      <c r="S95" s="39">
        <v>61704428</v>
      </c>
      <c r="T95" s="41">
        <v>1.166434628751694</v>
      </c>
      <c r="U95" s="39">
        <v>37835198.198541477</v>
      </c>
      <c r="V95" s="39">
        <v>71476409</v>
      </c>
      <c r="W95" s="41">
        <v>1.4502418169368023</v>
      </c>
      <c r="X95" s="42">
        <v>0.68169999999999997</v>
      </c>
      <c r="Y95" s="42">
        <v>2.3E-2</v>
      </c>
      <c r="Z95" s="42">
        <v>1.4E-2</v>
      </c>
      <c r="AA95" s="42">
        <v>9.6000000000000002E-2</v>
      </c>
      <c r="AB95" s="42">
        <v>6.7100000000000007E-2</v>
      </c>
      <c r="AC95" s="42">
        <v>1.4800000000000001E-2</v>
      </c>
      <c r="AD95" s="42">
        <v>8.5000000000000006E-3</v>
      </c>
      <c r="AE95" s="42">
        <v>9.2999999999999992E-3</v>
      </c>
      <c r="AF95" s="42">
        <v>5.0900000000000001E-2</v>
      </c>
      <c r="AG95" s="42"/>
      <c r="AH95" s="42"/>
      <c r="AI95" s="42">
        <v>1.9E-2</v>
      </c>
      <c r="AJ95" s="42">
        <v>1.5699999999999999E-2</v>
      </c>
      <c r="AK95" s="39"/>
      <c r="AL95" s="39"/>
      <c r="AM95" s="39">
        <v>6400000</v>
      </c>
      <c r="AN95" s="39">
        <v>267000</v>
      </c>
      <c r="AO95" s="39">
        <v>1987.5</v>
      </c>
      <c r="AP95" s="39">
        <v>9329</v>
      </c>
      <c r="AQ95" s="39"/>
      <c r="AR95" s="39"/>
      <c r="AS95" s="42"/>
      <c r="AT95" s="42"/>
      <c r="AU95" s="42"/>
      <c r="AV95" s="42"/>
      <c r="AW95" s="42"/>
      <c r="AX95" s="42"/>
      <c r="AY95" s="42">
        <v>0.67</v>
      </c>
      <c r="AZ95" s="42">
        <v>0.58699999999999997</v>
      </c>
      <c r="BA95" s="42"/>
      <c r="BB95" s="42">
        <v>0.92</v>
      </c>
      <c r="BC95" s="42"/>
      <c r="BD95" s="42"/>
      <c r="BE95" s="42"/>
      <c r="BF95" s="42"/>
      <c r="BG95" s="42">
        <v>0.58659760440271902</v>
      </c>
      <c r="BH95" s="42"/>
      <c r="BI95" s="42"/>
      <c r="BJ95" s="42">
        <v>6.2722563936549005E-4</v>
      </c>
      <c r="BK95" s="42"/>
      <c r="BL95" s="42"/>
      <c r="BM95" s="42"/>
      <c r="BN95" s="42"/>
      <c r="BO95" s="42">
        <v>0.41277516995791502</v>
      </c>
      <c r="BP95" s="42"/>
      <c r="BQ95" s="42"/>
      <c r="BR95" s="42"/>
      <c r="BS95" s="42"/>
      <c r="BT95" s="42"/>
      <c r="BU95" s="42"/>
      <c r="BV95" s="42"/>
      <c r="BW95" s="39"/>
      <c r="BX95" s="39"/>
      <c r="BY95" s="39"/>
      <c r="BZ95" s="39"/>
      <c r="CA95" s="39"/>
      <c r="CB95" s="27" t="s">
        <v>95</v>
      </c>
      <c r="CC95" s="27" t="s">
        <v>96</v>
      </c>
      <c r="CD95" s="27" t="s">
        <v>95</v>
      </c>
      <c r="CE95" s="27" t="s">
        <v>530</v>
      </c>
      <c r="CF95" s="27" t="s">
        <v>96</v>
      </c>
      <c r="CG95" s="27" t="s">
        <v>95</v>
      </c>
      <c r="CH95" s="27" t="s">
        <v>95</v>
      </c>
      <c r="CI95" s="27" t="s">
        <v>95</v>
      </c>
      <c r="CJ95" s="27" t="s">
        <v>123</v>
      </c>
      <c r="CK95" s="27"/>
      <c r="CL95" s="27" t="s">
        <v>96</v>
      </c>
      <c r="CM95" s="27" t="s">
        <v>531</v>
      </c>
      <c r="CN95" s="27" t="s">
        <v>95</v>
      </c>
      <c r="CO95" s="27"/>
      <c r="CP95" s="27" t="s">
        <v>95</v>
      </c>
      <c r="CQ95" s="27"/>
      <c r="CR95" s="43"/>
      <c r="CS95" s="43"/>
      <c r="CT95" s="43"/>
      <c r="CU95" s="43"/>
      <c r="CV95" s="43"/>
      <c r="CW95" s="43"/>
      <c r="CX95" s="43"/>
      <c r="CY95" s="43"/>
      <c r="CZ95" s="43"/>
      <c r="DA95" s="43"/>
      <c r="DB95" s="43"/>
      <c r="DC95" s="43"/>
      <c r="DD95" s="43"/>
      <c r="DE95" s="43"/>
      <c r="DF95" s="43"/>
    </row>
    <row r="96" spans="1:110" ht="14">
      <c r="A96" s="27" t="s">
        <v>532</v>
      </c>
      <c r="B96" s="27" t="s">
        <v>1713</v>
      </c>
      <c r="C96" s="27" t="s">
        <v>533</v>
      </c>
      <c r="D96" s="27" t="s">
        <v>122</v>
      </c>
      <c r="E96" s="27" t="s">
        <v>122</v>
      </c>
      <c r="F96" s="39">
        <v>531306516908</v>
      </c>
      <c r="G96" s="39">
        <v>5002655</v>
      </c>
      <c r="H96" s="40">
        <v>2021</v>
      </c>
      <c r="I96" s="39">
        <v>3170388</v>
      </c>
      <c r="J96" s="27" t="s">
        <v>194</v>
      </c>
      <c r="K96" s="41">
        <v>1.7362769410538894</v>
      </c>
      <c r="L96" s="39">
        <v>3240493.2777312514</v>
      </c>
      <c r="M96" s="39">
        <v>5054196</v>
      </c>
      <c r="N96" s="41">
        <v>1.7565729098369294</v>
      </c>
      <c r="O96" s="39">
        <v>3595844.9321584287</v>
      </c>
      <c r="P96" s="39">
        <v>5507049</v>
      </c>
      <c r="Q96" s="41">
        <v>1.7889127100773903</v>
      </c>
      <c r="R96" s="39">
        <v>3872485.5183729273</v>
      </c>
      <c r="S96" s="39">
        <v>5805333</v>
      </c>
      <c r="T96" s="41">
        <v>1.8275522464267391</v>
      </c>
      <c r="U96" s="39">
        <v>4066576.1565057971</v>
      </c>
      <c r="V96" s="39">
        <v>5967553</v>
      </c>
      <c r="W96" s="41">
        <v>1.866980408615063</v>
      </c>
      <c r="X96" s="42">
        <v>0.16</v>
      </c>
      <c r="Y96" s="42">
        <v>0.02</v>
      </c>
      <c r="Z96" s="42">
        <v>0.04</v>
      </c>
      <c r="AA96" s="42">
        <v>0.16</v>
      </c>
      <c r="AB96" s="42">
        <v>0.16</v>
      </c>
      <c r="AC96" s="42"/>
      <c r="AD96" s="42"/>
      <c r="AE96" s="42">
        <v>0.14000000000000001</v>
      </c>
      <c r="AF96" s="42">
        <v>0.06</v>
      </c>
      <c r="AG96" s="42"/>
      <c r="AH96" s="42"/>
      <c r="AI96" s="42">
        <v>0.06</v>
      </c>
      <c r="AJ96" s="42">
        <v>0.2</v>
      </c>
      <c r="AK96" s="39">
        <v>824969</v>
      </c>
      <c r="AL96" s="39">
        <v>275414</v>
      </c>
      <c r="AM96" s="39">
        <v>9043749</v>
      </c>
      <c r="AN96" s="39">
        <v>194853</v>
      </c>
      <c r="AO96" s="39">
        <v>358715.36</v>
      </c>
      <c r="AP96" s="39">
        <v>3621070</v>
      </c>
      <c r="AQ96" s="39">
        <v>1517599</v>
      </c>
      <c r="AR96" s="39">
        <v>17508</v>
      </c>
      <c r="AS96" s="42"/>
      <c r="AT96" s="42"/>
      <c r="AU96" s="42"/>
      <c r="AV96" s="42"/>
      <c r="AW96" s="42"/>
      <c r="AX96" s="42"/>
      <c r="AY96" s="42"/>
      <c r="AZ96" s="42"/>
      <c r="BA96" s="42"/>
      <c r="BB96" s="42"/>
      <c r="BC96" s="42"/>
      <c r="BD96" s="42"/>
      <c r="BE96" s="42"/>
      <c r="BF96" s="42">
        <v>0.15909999999999999</v>
      </c>
      <c r="BG96" s="42"/>
      <c r="BH96" s="42"/>
      <c r="BI96" s="42">
        <v>0.15379999999999999</v>
      </c>
      <c r="BJ96" s="42">
        <v>0.26019999999999999</v>
      </c>
      <c r="BK96" s="42">
        <v>0.41420000000000001</v>
      </c>
      <c r="BL96" s="42"/>
      <c r="BM96" s="42"/>
      <c r="BN96" s="42">
        <v>4.7000000000000002E-3</v>
      </c>
      <c r="BO96" s="42"/>
      <c r="BP96" s="42">
        <v>8.0999999999999996E-3</v>
      </c>
      <c r="BQ96" s="42">
        <v>0.5</v>
      </c>
      <c r="BR96" s="42">
        <v>0.5</v>
      </c>
      <c r="BS96" s="42"/>
      <c r="BT96" s="42"/>
      <c r="BU96" s="42"/>
      <c r="BV96" s="42"/>
      <c r="BW96" s="39">
        <v>7651</v>
      </c>
      <c r="BX96" s="39"/>
      <c r="BY96" s="39"/>
      <c r="BZ96" s="39"/>
      <c r="CA96" s="39"/>
      <c r="CB96" s="27" t="s">
        <v>96</v>
      </c>
      <c r="CC96" s="27" t="s">
        <v>96</v>
      </c>
      <c r="CD96" s="27" t="s">
        <v>96</v>
      </c>
      <c r="CE96" s="27" t="s">
        <v>534</v>
      </c>
      <c r="CF96" s="27" t="s">
        <v>96</v>
      </c>
      <c r="CG96" s="27" t="s">
        <v>96</v>
      </c>
      <c r="CH96" s="27" t="s">
        <v>96</v>
      </c>
      <c r="CI96" s="27" t="s">
        <v>535</v>
      </c>
      <c r="CJ96" s="27" t="s">
        <v>1578</v>
      </c>
      <c r="CK96" s="27"/>
      <c r="CL96" s="27" t="s">
        <v>96</v>
      </c>
      <c r="CM96" s="27" t="s">
        <v>536</v>
      </c>
      <c r="CN96" s="27" t="s">
        <v>96</v>
      </c>
      <c r="CO96" s="27"/>
      <c r="CP96" s="27" t="s">
        <v>96</v>
      </c>
      <c r="CQ96" s="27"/>
      <c r="CR96" s="43" t="s">
        <v>96</v>
      </c>
      <c r="CS96" s="43" t="s">
        <v>96</v>
      </c>
      <c r="CT96" s="43"/>
      <c r="CU96" s="43" t="s">
        <v>96</v>
      </c>
      <c r="CV96" s="43" t="s">
        <v>96</v>
      </c>
      <c r="CW96" s="43" t="s">
        <v>96</v>
      </c>
      <c r="CX96" s="43" t="s">
        <v>96</v>
      </c>
      <c r="CY96" s="43" t="s">
        <v>1723</v>
      </c>
      <c r="CZ96" s="43" t="s">
        <v>109</v>
      </c>
      <c r="DA96" s="43" t="s">
        <v>1470</v>
      </c>
      <c r="DB96" s="43" t="s">
        <v>96</v>
      </c>
      <c r="DC96" s="43" t="s">
        <v>168</v>
      </c>
      <c r="DD96" s="43" t="s">
        <v>1435</v>
      </c>
      <c r="DE96" s="43" t="s">
        <v>109</v>
      </c>
      <c r="DF96" s="43" t="s">
        <v>1470</v>
      </c>
    </row>
    <row r="97" spans="1:110" ht="14">
      <c r="A97" s="27" t="s">
        <v>537</v>
      </c>
      <c r="B97" s="27" t="s">
        <v>1713</v>
      </c>
      <c r="C97" s="27" t="s">
        <v>538</v>
      </c>
      <c r="D97" s="27" t="s">
        <v>122</v>
      </c>
      <c r="E97" s="27" t="s">
        <v>122</v>
      </c>
      <c r="F97" s="39">
        <v>7431257411</v>
      </c>
      <c r="G97" s="39">
        <v>84158</v>
      </c>
      <c r="H97" s="40">
        <v>2023</v>
      </c>
      <c r="I97" s="39">
        <v>49378</v>
      </c>
      <c r="J97" s="27" t="s">
        <v>102</v>
      </c>
      <c r="K97" s="41">
        <v>1.6074786922315396</v>
      </c>
      <c r="L97" s="39">
        <v>49452.568387409578</v>
      </c>
      <c r="M97" s="39">
        <v>84106</v>
      </c>
      <c r="N97" s="41">
        <v>1.6109015852927138</v>
      </c>
      <c r="O97" s="39">
        <v>50860.652524532961</v>
      </c>
      <c r="P97" s="39">
        <v>83656</v>
      </c>
      <c r="Q97" s="41">
        <v>1.6656815230452224</v>
      </c>
      <c r="R97" s="39">
        <v>51693.453003665301</v>
      </c>
      <c r="S97" s="39">
        <v>81621</v>
      </c>
      <c r="T97" s="41">
        <v>1.7351649531392523</v>
      </c>
      <c r="U97" s="39">
        <v>51393.417713045426</v>
      </c>
      <c r="V97" s="39">
        <v>78192</v>
      </c>
      <c r="W97" s="41">
        <v>1.800745397807064</v>
      </c>
      <c r="X97" s="42"/>
      <c r="Y97" s="42"/>
      <c r="Z97" s="42"/>
      <c r="AA97" s="42"/>
      <c r="AB97" s="42"/>
      <c r="AC97" s="42"/>
      <c r="AD97" s="42"/>
      <c r="AE97" s="42"/>
      <c r="AF97" s="42"/>
      <c r="AG97" s="42"/>
      <c r="AH97" s="42"/>
      <c r="AI97" s="42"/>
      <c r="AJ97" s="42"/>
      <c r="AK97" s="39"/>
      <c r="AL97" s="39">
        <v>2610</v>
      </c>
      <c r="AM97" s="39">
        <v>150340</v>
      </c>
      <c r="AN97" s="39">
        <v>200</v>
      </c>
      <c r="AO97" s="39"/>
      <c r="AP97" s="39"/>
      <c r="AQ97" s="39"/>
      <c r="AR97" s="39">
        <v>392</v>
      </c>
      <c r="AS97" s="42"/>
      <c r="AT97" s="42"/>
      <c r="AU97" s="42"/>
      <c r="AV97" s="42"/>
      <c r="AW97" s="42"/>
      <c r="AX97" s="42"/>
      <c r="AY97" s="42"/>
      <c r="AZ97" s="42"/>
      <c r="BA97" s="42"/>
      <c r="BB97" s="42"/>
      <c r="BC97" s="42"/>
      <c r="BD97" s="42"/>
      <c r="BE97" s="42"/>
      <c r="BF97" s="42">
        <v>2.3168212564299899E-2</v>
      </c>
      <c r="BG97" s="42"/>
      <c r="BH97" s="42"/>
      <c r="BI97" s="42"/>
      <c r="BJ97" s="42">
        <v>0.12892381222406701</v>
      </c>
      <c r="BK97" s="42">
        <v>0.81317590829924302</v>
      </c>
      <c r="BL97" s="42"/>
      <c r="BM97" s="42"/>
      <c r="BN97" s="42">
        <v>3.47320669123901E-2</v>
      </c>
      <c r="BO97" s="42"/>
      <c r="BP97" s="42"/>
      <c r="BQ97" s="42"/>
      <c r="BR97" s="42"/>
      <c r="BS97" s="42"/>
      <c r="BT97" s="42"/>
      <c r="BU97" s="42"/>
      <c r="BV97" s="42"/>
      <c r="BW97" s="39"/>
      <c r="BX97" s="39"/>
      <c r="BY97" s="39"/>
      <c r="BZ97" s="39"/>
      <c r="CA97" s="39"/>
      <c r="CB97" s="27"/>
      <c r="CC97" s="27" t="s">
        <v>96</v>
      </c>
      <c r="CD97" s="27" t="s">
        <v>96</v>
      </c>
      <c r="CE97" s="27" t="s">
        <v>539</v>
      </c>
      <c r="CF97" s="27" t="s">
        <v>96</v>
      </c>
      <c r="CG97" s="27" t="s">
        <v>96</v>
      </c>
      <c r="CH97" s="27" t="s">
        <v>96</v>
      </c>
      <c r="CI97" s="27" t="s">
        <v>540</v>
      </c>
      <c r="CJ97" s="27" t="s">
        <v>1580</v>
      </c>
      <c r="CK97" s="27"/>
      <c r="CL97" s="27" t="s">
        <v>96</v>
      </c>
      <c r="CM97" s="27" t="s">
        <v>541</v>
      </c>
      <c r="CN97" s="27" t="s">
        <v>95</v>
      </c>
      <c r="CO97" s="27"/>
      <c r="CP97" s="27" t="s">
        <v>95</v>
      </c>
      <c r="CQ97" s="27"/>
      <c r="CR97" s="43"/>
      <c r="CS97" s="43"/>
      <c r="CT97" s="43"/>
      <c r="CU97" s="43"/>
      <c r="CV97" s="43"/>
      <c r="CW97" s="43"/>
      <c r="CX97" s="43"/>
      <c r="CY97" s="43"/>
      <c r="CZ97" s="43"/>
      <c r="DA97" s="43"/>
      <c r="DB97" s="43"/>
      <c r="DC97" s="43"/>
      <c r="DD97" s="43"/>
      <c r="DE97" s="43"/>
      <c r="DF97" s="43"/>
    </row>
    <row r="98" spans="1:110" ht="14.5">
      <c r="A98" s="27" t="s">
        <v>542</v>
      </c>
      <c r="B98" t="s">
        <v>1715</v>
      </c>
      <c r="C98" s="27" t="s">
        <v>543</v>
      </c>
      <c r="D98" s="27" t="s">
        <v>122</v>
      </c>
      <c r="E98" s="27" t="s">
        <v>122</v>
      </c>
      <c r="F98" s="39">
        <v>525181008026</v>
      </c>
      <c r="G98" s="39">
        <v>9015491</v>
      </c>
      <c r="H98" s="40">
        <v>2022</v>
      </c>
      <c r="I98" s="39">
        <v>6189622</v>
      </c>
      <c r="J98" s="27" t="s">
        <v>94</v>
      </c>
      <c r="K98" s="41">
        <v>1.8809700429128799</v>
      </c>
      <c r="L98" s="39">
        <v>6189621.9999999991</v>
      </c>
      <c r="M98" s="39">
        <v>9015491</v>
      </c>
      <c r="N98" s="41">
        <v>1.8809700429128799</v>
      </c>
      <c r="O98" s="39">
        <v>7304419.7276605042</v>
      </c>
      <c r="P98" s="39">
        <v>10107994</v>
      </c>
      <c r="Q98" s="41">
        <v>1.9798299091694644</v>
      </c>
      <c r="R98" s="39">
        <v>8728313.0098828804</v>
      </c>
      <c r="S98" s="39">
        <v>11507411</v>
      </c>
      <c r="T98" s="41">
        <v>2.0780683273106564</v>
      </c>
      <c r="U98" s="39">
        <v>10203505.339506475</v>
      </c>
      <c r="V98" s="39">
        <v>13016424</v>
      </c>
      <c r="W98" s="41">
        <v>2.1476566182334569</v>
      </c>
      <c r="X98" s="42">
        <v>0.43</v>
      </c>
      <c r="Y98" s="42"/>
      <c r="Z98" s="42"/>
      <c r="AA98" s="42">
        <v>0.2</v>
      </c>
      <c r="AB98" s="42">
        <v>0.19</v>
      </c>
      <c r="AC98" s="42"/>
      <c r="AD98" s="42"/>
      <c r="AE98" s="42"/>
      <c r="AF98" s="42"/>
      <c r="AG98" s="42"/>
      <c r="AH98" s="42"/>
      <c r="AI98" s="42"/>
      <c r="AJ98" s="42">
        <v>0.18</v>
      </c>
      <c r="AK98" s="39"/>
      <c r="AL98" s="39">
        <v>5500000</v>
      </c>
      <c r="AM98" s="39">
        <v>3789000</v>
      </c>
      <c r="AN98" s="39">
        <v>148000</v>
      </c>
      <c r="AO98" s="39"/>
      <c r="AP98" s="39">
        <v>3900000</v>
      </c>
      <c r="AQ98" s="39"/>
      <c r="AR98" s="39"/>
      <c r="AS98" s="42"/>
      <c r="AT98" s="42"/>
      <c r="AU98" s="42"/>
      <c r="AV98" s="42"/>
      <c r="AW98" s="42"/>
      <c r="AX98" s="42"/>
      <c r="AY98" s="42"/>
      <c r="AZ98" s="42"/>
      <c r="BA98" s="42"/>
      <c r="BB98" s="42"/>
      <c r="BC98" s="42"/>
      <c r="BD98" s="42"/>
      <c r="BE98" s="42"/>
      <c r="BF98" s="42"/>
      <c r="BG98" s="45">
        <v>0.75744786999917002</v>
      </c>
      <c r="BH98" s="42"/>
      <c r="BI98" s="42"/>
      <c r="BJ98" s="45">
        <v>0.24299999999999999</v>
      </c>
      <c r="BK98" s="42"/>
      <c r="BL98" s="42"/>
      <c r="BM98" s="42"/>
      <c r="BN98" s="42"/>
      <c r="BO98" s="42"/>
      <c r="BP98" s="42"/>
      <c r="BQ98" s="42"/>
      <c r="BR98" s="42"/>
      <c r="BS98" s="42"/>
      <c r="BT98" s="42"/>
      <c r="BU98" s="42"/>
      <c r="BV98" s="42"/>
      <c r="BW98" s="39">
        <v>26700</v>
      </c>
      <c r="BX98" s="39"/>
      <c r="BY98" s="39"/>
      <c r="BZ98" s="39"/>
      <c r="CA98" s="39"/>
      <c r="CB98" s="27" t="s">
        <v>96</v>
      </c>
      <c r="CC98" s="27" t="s">
        <v>95</v>
      </c>
      <c r="CD98" s="27" t="s">
        <v>96</v>
      </c>
      <c r="CE98" s="27" t="s">
        <v>96</v>
      </c>
      <c r="CF98" s="27" t="s">
        <v>96</v>
      </c>
      <c r="CG98" s="27"/>
      <c r="CH98" s="27" t="s">
        <v>96</v>
      </c>
      <c r="CI98" s="27" t="s">
        <v>96</v>
      </c>
      <c r="CJ98" s="27" t="s">
        <v>1579</v>
      </c>
      <c r="CK98" s="27"/>
      <c r="CL98" s="27"/>
      <c r="CM98" s="27"/>
      <c r="CN98" s="27" t="s">
        <v>96</v>
      </c>
      <c r="CO98" s="27"/>
      <c r="CP98" s="27" t="s">
        <v>96</v>
      </c>
      <c r="CQ98" s="27"/>
      <c r="CR98" s="43" t="s">
        <v>96</v>
      </c>
      <c r="CS98" s="43" t="s">
        <v>96</v>
      </c>
      <c r="CT98" s="43"/>
      <c r="CU98" s="43"/>
      <c r="CV98" s="43" t="s">
        <v>96</v>
      </c>
      <c r="CW98" s="43" t="s">
        <v>96</v>
      </c>
      <c r="CX98" s="43" t="s">
        <v>96</v>
      </c>
      <c r="CY98" s="43" t="s">
        <v>1723</v>
      </c>
      <c r="CZ98" s="43" t="s">
        <v>109</v>
      </c>
      <c r="DA98" s="43" t="s">
        <v>1470</v>
      </c>
      <c r="DB98" s="43" t="s">
        <v>96</v>
      </c>
      <c r="DC98" s="43" t="s">
        <v>168</v>
      </c>
      <c r="DD98" s="43" t="s">
        <v>1472</v>
      </c>
      <c r="DE98" s="43" t="s">
        <v>109</v>
      </c>
      <c r="DF98" s="43" t="s">
        <v>1470</v>
      </c>
    </row>
    <row r="99" spans="1:110" ht="14">
      <c r="A99" s="27" t="s">
        <v>544</v>
      </c>
      <c r="B99" s="27" t="s">
        <v>1713</v>
      </c>
      <c r="C99" s="27" t="s">
        <v>545</v>
      </c>
      <c r="D99" s="27" t="s">
        <v>122</v>
      </c>
      <c r="E99" s="27" t="s">
        <v>122</v>
      </c>
      <c r="F99" s="39">
        <v>2104067630319</v>
      </c>
      <c r="G99" s="39">
        <v>59674464</v>
      </c>
      <c r="H99" s="40">
        <v>2022</v>
      </c>
      <c r="I99" s="39">
        <v>29051310</v>
      </c>
      <c r="J99" s="27" t="s">
        <v>194</v>
      </c>
      <c r="K99" s="41">
        <v>1.3337803945249731</v>
      </c>
      <c r="L99" s="39">
        <v>29051310.000000004</v>
      </c>
      <c r="M99" s="39">
        <v>59674464</v>
      </c>
      <c r="N99" s="41">
        <v>1.3337803945249731</v>
      </c>
      <c r="O99" s="39">
        <v>29397916.476003624</v>
      </c>
      <c r="P99" s="39">
        <v>58077538</v>
      </c>
      <c r="Q99" s="41">
        <v>1.3868052898619405</v>
      </c>
      <c r="R99" s="39">
        <v>29080596.276273027</v>
      </c>
      <c r="S99" s="39">
        <v>55365780</v>
      </c>
      <c r="T99" s="41">
        <v>1.4390272567339801</v>
      </c>
      <c r="U99" s="39">
        <v>28197192.447012462</v>
      </c>
      <c r="V99" s="39">
        <v>52085960</v>
      </c>
      <c r="W99" s="41">
        <v>1.4831747758246074</v>
      </c>
      <c r="X99" s="42">
        <v>0.34699999999999998</v>
      </c>
      <c r="Y99" s="42">
        <v>8.2000000000000003E-2</v>
      </c>
      <c r="Z99" s="42">
        <v>2.4E-2</v>
      </c>
      <c r="AA99" s="42">
        <v>0.218</v>
      </c>
      <c r="AB99" s="42">
        <v>0.127</v>
      </c>
      <c r="AC99" s="42"/>
      <c r="AD99" s="42">
        <v>3.5000000000000003E-2</v>
      </c>
      <c r="AE99" s="42"/>
      <c r="AF99" s="42">
        <v>4.3999999999999997E-2</v>
      </c>
      <c r="AG99" s="42">
        <v>0.01</v>
      </c>
      <c r="AH99" s="42"/>
      <c r="AI99" s="42">
        <v>4.7E-2</v>
      </c>
      <c r="AJ99" s="42">
        <v>6.6000000000000003E-2</v>
      </c>
      <c r="AK99" s="39">
        <v>8329880</v>
      </c>
      <c r="AL99" s="39">
        <v>32984408.800000001</v>
      </c>
      <c r="AM99" s="39">
        <v>78667815</v>
      </c>
      <c r="AN99" s="39">
        <v>1124000</v>
      </c>
      <c r="AO99" s="39">
        <v>10667886</v>
      </c>
      <c r="AP99" s="39">
        <v>30015812.008000001</v>
      </c>
      <c r="AQ99" s="39">
        <v>1484298.3959999999</v>
      </c>
      <c r="AR99" s="39">
        <v>265000</v>
      </c>
      <c r="AS99" s="42"/>
      <c r="AT99" s="42"/>
      <c r="AU99" s="42"/>
      <c r="AV99" s="42"/>
      <c r="AW99" s="42"/>
      <c r="AX99" s="42"/>
      <c r="AY99" s="42"/>
      <c r="AZ99" s="42"/>
      <c r="BA99" s="42"/>
      <c r="BB99" s="42"/>
      <c r="BC99" s="42"/>
      <c r="BD99" s="42"/>
      <c r="BE99" s="42"/>
      <c r="BF99" s="42">
        <v>0.13577084532790301</v>
      </c>
      <c r="BG99" s="42"/>
      <c r="BH99" s="42">
        <v>0.17455527893918801</v>
      </c>
      <c r="BI99" s="42">
        <v>7.8915827812219008E-3</v>
      </c>
      <c r="BJ99" s="42">
        <v>0.21862860632327599</v>
      </c>
      <c r="BK99" s="42">
        <v>0.13929383492313799</v>
      </c>
      <c r="BL99" s="42">
        <v>0.22952628388577101</v>
      </c>
      <c r="BM99" s="42">
        <v>8.7726188894323102E-3</v>
      </c>
      <c r="BN99" s="42"/>
      <c r="BO99" s="42"/>
      <c r="BP99" s="42">
        <v>8.5560948930070005E-2</v>
      </c>
      <c r="BQ99" s="42"/>
      <c r="BR99" s="42"/>
      <c r="BS99" s="42"/>
      <c r="BT99" s="42"/>
      <c r="BU99" s="42"/>
      <c r="BV99" s="42"/>
      <c r="BW99" s="39">
        <v>156372</v>
      </c>
      <c r="BX99" s="39"/>
      <c r="BY99" s="39"/>
      <c r="BZ99" s="39"/>
      <c r="CA99" s="39"/>
      <c r="CB99" s="27" t="s">
        <v>96</v>
      </c>
      <c r="CC99" s="27" t="s">
        <v>96</v>
      </c>
      <c r="CD99" s="27" t="s">
        <v>96</v>
      </c>
      <c r="CE99" s="27" t="s">
        <v>546</v>
      </c>
      <c r="CF99" s="27" t="s">
        <v>96</v>
      </c>
      <c r="CG99" s="27" t="s">
        <v>96</v>
      </c>
      <c r="CH99" s="27" t="s">
        <v>96</v>
      </c>
      <c r="CI99" s="27"/>
      <c r="CJ99" s="27" t="s">
        <v>547</v>
      </c>
      <c r="CK99" s="27"/>
      <c r="CL99" s="27" t="s">
        <v>96</v>
      </c>
      <c r="CM99" s="27" t="s">
        <v>548</v>
      </c>
      <c r="CN99" s="27" t="s">
        <v>96</v>
      </c>
      <c r="CO99" s="27"/>
      <c r="CP99" s="27" t="s">
        <v>96</v>
      </c>
      <c r="CQ99" s="27" t="s">
        <v>549</v>
      </c>
      <c r="CR99" s="43" t="s">
        <v>96</v>
      </c>
      <c r="CS99" s="43" t="s">
        <v>96</v>
      </c>
      <c r="CT99" s="43"/>
      <c r="CU99" s="43" t="s">
        <v>96</v>
      </c>
      <c r="CV99" s="43" t="s">
        <v>96</v>
      </c>
      <c r="CW99" s="43" t="s">
        <v>96</v>
      </c>
      <c r="CX99" s="43" t="s">
        <v>96</v>
      </c>
      <c r="CY99" s="43" t="s">
        <v>1723</v>
      </c>
      <c r="CZ99" s="43" t="s">
        <v>109</v>
      </c>
      <c r="DA99" s="43" t="s">
        <v>1470</v>
      </c>
      <c r="DB99" s="43"/>
      <c r="DC99" s="43"/>
      <c r="DD99" s="43"/>
      <c r="DE99" s="43"/>
      <c r="DF99" s="43"/>
    </row>
    <row r="100" spans="1:110" ht="14">
      <c r="A100" s="27" t="s">
        <v>550</v>
      </c>
      <c r="B100" s="27" t="s">
        <v>1714</v>
      </c>
      <c r="C100" s="27" t="s">
        <v>551</v>
      </c>
      <c r="D100" s="27" t="s">
        <v>1650</v>
      </c>
      <c r="E100" s="27" t="s">
        <v>1650</v>
      </c>
      <c r="F100" s="39">
        <v>14657586159.43</v>
      </c>
      <c r="G100" s="39">
        <v>2836825</v>
      </c>
      <c r="H100" s="40">
        <v>2021</v>
      </c>
      <c r="I100" s="39">
        <v>1229527.38443669</v>
      </c>
      <c r="J100" s="27" t="s">
        <v>94</v>
      </c>
      <c r="K100" s="41">
        <v>1.1874430662937887</v>
      </c>
      <c r="L100" s="39">
        <v>1267177.9220949754</v>
      </c>
      <c r="M100" s="39">
        <v>2838538</v>
      </c>
      <c r="N100" s="41">
        <v>1.2230663582826025</v>
      </c>
      <c r="O100" s="39">
        <v>1385885.212142664</v>
      </c>
      <c r="P100" s="39">
        <v>2812938</v>
      </c>
      <c r="Q100" s="41">
        <v>1.3498149574189797</v>
      </c>
      <c r="R100" s="39">
        <v>1500759.4294745014</v>
      </c>
      <c r="S100" s="39">
        <v>2685163</v>
      </c>
      <c r="T100" s="41">
        <v>1.5312551490517168</v>
      </c>
      <c r="U100" s="39">
        <v>1617323.5226691733</v>
      </c>
      <c r="V100" s="39">
        <v>2467334</v>
      </c>
      <c r="W100" s="41">
        <v>1.7958749604952378</v>
      </c>
      <c r="X100" s="42">
        <v>0.55000000000000004</v>
      </c>
      <c r="Y100" s="42">
        <v>0.03</v>
      </c>
      <c r="Z100" s="42">
        <v>0.02</v>
      </c>
      <c r="AA100" s="42">
        <v>0.19</v>
      </c>
      <c r="AB100" s="42">
        <v>0.18</v>
      </c>
      <c r="AC100" s="42"/>
      <c r="AD100" s="42"/>
      <c r="AE100" s="42"/>
      <c r="AF100" s="42">
        <v>0.04</v>
      </c>
      <c r="AG100" s="42"/>
      <c r="AH100" s="42"/>
      <c r="AI100" s="42"/>
      <c r="AJ100" s="42"/>
      <c r="AK100" s="39"/>
      <c r="AL100" s="39"/>
      <c r="AM100" s="39"/>
      <c r="AN100" s="39">
        <v>21000</v>
      </c>
      <c r="AO100" s="39">
        <v>10000</v>
      </c>
      <c r="AP100" s="39"/>
      <c r="AQ100" s="39"/>
      <c r="AR100" s="39">
        <v>206.58</v>
      </c>
      <c r="AS100" s="42"/>
      <c r="AT100" s="42"/>
      <c r="AU100" s="42"/>
      <c r="AV100" s="42">
        <v>0.378</v>
      </c>
      <c r="AW100" s="42"/>
      <c r="AX100" s="42"/>
      <c r="AY100" s="42">
        <v>0.53800000000000003</v>
      </c>
      <c r="AZ100" s="42"/>
      <c r="BA100" s="42"/>
      <c r="BB100" s="42">
        <v>0.61399999999999999</v>
      </c>
      <c r="BC100" s="42"/>
      <c r="BD100" s="42">
        <v>0.7</v>
      </c>
      <c r="BE100" s="42"/>
      <c r="BF100" s="42"/>
      <c r="BG100" s="42"/>
      <c r="BH100" s="42"/>
      <c r="BI100" s="42"/>
      <c r="BJ100" s="42"/>
      <c r="BK100" s="42"/>
      <c r="BL100" s="42"/>
      <c r="BM100" s="42"/>
      <c r="BN100" s="42"/>
      <c r="BO100" s="42">
        <v>0.3</v>
      </c>
      <c r="BP100" s="42"/>
      <c r="BQ100" s="42">
        <v>0.13015873015873</v>
      </c>
      <c r="BR100" s="42">
        <v>0.86984126984126997</v>
      </c>
      <c r="BS100" s="42"/>
      <c r="BT100" s="42"/>
      <c r="BU100" s="42"/>
      <c r="BV100" s="42"/>
      <c r="BW100" s="39"/>
      <c r="BX100" s="39"/>
      <c r="BY100" s="39"/>
      <c r="BZ100" s="39"/>
      <c r="CA100" s="39"/>
      <c r="CB100" s="27"/>
      <c r="CC100" s="27" t="s">
        <v>96</v>
      </c>
      <c r="CD100" s="27"/>
      <c r="CE100" s="27" t="s">
        <v>552</v>
      </c>
      <c r="CF100" s="27" t="s">
        <v>96</v>
      </c>
      <c r="CG100" s="27" t="s">
        <v>96</v>
      </c>
      <c r="CH100" s="27"/>
      <c r="CI100" s="27"/>
      <c r="CJ100" s="27" t="s">
        <v>123</v>
      </c>
      <c r="CK100" s="27"/>
      <c r="CL100" s="27" t="s">
        <v>96</v>
      </c>
      <c r="CM100" s="27" t="s">
        <v>553</v>
      </c>
      <c r="CN100" s="27"/>
      <c r="CO100" s="27"/>
      <c r="CP100" s="27" t="s">
        <v>95</v>
      </c>
      <c r="CQ100" s="27"/>
      <c r="CR100" s="43" t="s">
        <v>96</v>
      </c>
      <c r="CS100" s="43"/>
      <c r="CT100" s="43"/>
      <c r="CU100" s="43"/>
      <c r="CV100" s="43" t="s">
        <v>96</v>
      </c>
      <c r="CW100" s="43"/>
      <c r="CX100" s="43"/>
      <c r="CY100" s="43" t="s">
        <v>106</v>
      </c>
      <c r="CZ100" s="43" t="s">
        <v>198</v>
      </c>
      <c r="DA100" s="43" t="s">
        <v>1471</v>
      </c>
      <c r="DB100" s="43" t="s">
        <v>96</v>
      </c>
      <c r="DC100" s="43" t="s">
        <v>168</v>
      </c>
      <c r="DD100" s="43" t="s">
        <v>1437</v>
      </c>
      <c r="DE100" s="43" t="s">
        <v>109</v>
      </c>
      <c r="DF100" t="s">
        <v>107</v>
      </c>
    </row>
    <row r="101" spans="1:110" ht="14">
      <c r="A101" s="27" t="s">
        <v>554</v>
      </c>
      <c r="B101" s="47" t="s">
        <v>1712</v>
      </c>
      <c r="C101" s="27" t="s">
        <v>555</v>
      </c>
      <c r="D101" s="27" t="s">
        <v>122</v>
      </c>
      <c r="E101" s="27" t="s">
        <v>122</v>
      </c>
      <c r="F101" s="39">
        <v>4262463317797</v>
      </c>
      <c r="G101" s="39">
        <v>125324442</v>
      </c>
      <c r="H101" s="40">
        <v>2022</v>
      </c>
      <c r="I101" s="39">
        <v>40344000</v>
      </c>
      <c r="J101" s="27" t="s">
        <v>194</v>
      </c>
      <c r="K101" s="41">
        <v>0.88196288836709968</v>
      </c>
      <c r="L101" s="39">
        <v>40343999.999999993</v>
      </c>
      <c r="M101" s="39">
        <v>125324442</v>
      </c>
      <c r="N101" s="41">
        <v>0.88196288836709968</v>
      </c>
      <c r="O101" s="39">
        <v>40214641.749543846</v>
      </c>
      <c r="P101" s="39">
        <v>119948756</v>
      </c>
      <c r="Q101" s="41">
        <v>0.91853475065370227</v>
      </c>
      <c r="R101" s="39">
        <v>39244460.94279097</v>
      </c>
      <c r="S101" s="39">
        <v>112525652</v>
      </c>
      <c r="T101" s="41">
        <v>0.95550720360313612</v>
      </c>
      <c r="U101" s="39">
        <v>38088782.670152836</v>
      </c>
      <c r="V101" s="39">
        <v>105458719</v>
      </c>
      <c r="W101" s="41">
        <v>0.98951352930140779</v>
      </c>
      <c r="X101" s="42">
        <v>0.28299999999999997</v>
      </c>
      <c r="Y101" s="42">
        <v>4.7E-2</v>
      </c>
      <c r="Z101" s="42">
        <v>4.3999999999999997E-2</v>
      </c>
      <c r="AA101" s="42">
        <v>0.33300000000000002</v>
      </c>
      <c r="AB101" s="42">
        <v>0.14799999999999999</v>
      </c>
      <c r="AC101" s="42"/>
      <c r="AD101" s="42"/>
      <c r="AE101" s="42"/>
      <c r="AF101" s="42">
        <v>3.6999999999999998E-2</v>
      </c>
      <c r="AG101" s="42"/>
      <c r="AH101" s="42"/>
      <c r="AI101" s="42"/>
      <c r="AJ101" s="42">
        <v>0.108</v>
      </c>
      <c r="AK101" s="39">
        <v>7906000</v>
      </c>
      <c r="AL101" s="39">
        <v>82881000</v>
      </c>
      <c r="AM101" s="39">
        <v>80179000</v>
      </c>
      <c r="AN101" s="39">
        <v>2638000</v>
      </c>
      <c r="AO101" s="39">
        <v>3155000</v>
      </c>
      <c r="AP101" s="39"/>
      <c r="AQ101" s="39"/>
      <c r="AR101" s="39">
        <v>523000</v>
      </c>
      <c r="AS101" s="42"/>
      <c r="AT101" s="42"/>
      <c r="AU101" s="42"/>
      <c r="AV101" s="42"/>
      <c r="AW101" s="42"/>
      <c r="AX101" s="42">
        <v>0.99990000000000001</v>
      </c>
      <c r="AY101" s="42">
        <v>0.99990000000000001</v>
      </c>
      <c r="AZ101" s="42">
        <v>0.99990000000000001</v>
      </c>
      <c r="BA101" s="42"/>
      <c r="BB101" s="42"/>
      <c r="BC101" s="42"/>
      <c r="BD101" s="42"/>
      <c r="BE101" s="42"/>
      <c r="BF101" s="42">
        <v>8.3764962454462109E-3</v>
      </c>
      <c r="BG101" s="42"/>
      <c r="BH101" s="42">
        <v>3.3704245247949201E-3</v>
      </c>
      <c r="BI101" s="42">
        <v>4.2873782558053098E-3</v>
      </c>
      <c r="BJ101" s="42">
        <v>0.15714604346856301</v>
      </c>
      <c r="BK101" s="42">
        <v>0.77170330351168503</v>
      </c>
      <c r="BL101" s="42"/>
      <c r="BM101" s="42">
        <v>1.21682238358405E-2</v>
      </c>
      <c r="BN101" s="42">
        <v>4.2849000024782501E-2</v>
      </c>
      <c r="BO101" s="42">
        <v>1.4869519962330599E-4</v>
      </c>
      <c r="BP101" s="42"/>
      <c r="BQ101" s="42"/>
      <c r="BR101" s="42"/>
      <c r="BS101" s="42"/>
      <c r="BT101" s="42"/>
      <c r="BU101" s="42"/>
      <c r="BV101" s="42"/>
      <c r="BW101" s="39">
        <v>603328</v>
      </c>
      <c r="BX101" s="39"/>
      <c r="BY101" s="39"/>
      <c r="BZ101" s="39"/>
      <c r="CA101" s="39"/>
      <c r="CB101" s="27" t="s">
        <v>96</v>
      </c>
      <c r="CC101" s="27" t="s">
        <v>96</v>
      </c>
      <c r="CD101" s="27" t="s">
        <v>96</v>
      </c>
      <c r="CE101" s="27" t="s">
        <v>556</v>
      </c>
      <c r="CF101" s="27" t="s">
        <v>96</v>
      </c>
      <c r="CG101" s="27" t="s">
        <v>96</v>
      </c>
      <c r="CH101" s="27" t="s">
        <v>96</v>
      </c>
      <c r="CI101" s="27" t="s">
        <v>557</v>
      </c>
      <c r="CJ101" s="27" t="s">
        <v>558</v>
      </c>
      <c r="CK101" s="27"/>
      <c r="CL101" s="27" t="s">
        <v>96</v>
      </c>
      <c r="CM101" s="27" t="s">
        <v>559</v>
      </c>
      <c r="CN101" s="27" t="s">
        <v>96</v>
      </c>
      <c r="CO101" s="27" t="s">
        <v>1547</v>
      </c>
      <c r="CP101" s="27" t="s">
        <v>96</v>
      </c>
      <c r="CQ101" s="27" t="s">
        <v>559</v>
      </c>
      <c r="CR101" s="43" t="s">
        <v>96</v>
      </c>
      <c r="CS101" s="43" t="s">
        <v>96</v>
      </c>
      <c r="CT101" s="43"/>
      <c r="CU101" s="43"/>
      <c r="CV101" s="43" t="s">
        <v>96</v>
      </c>
      <c r="CW101" s="43"/>
      <c r="CX101" s="43"/>
      <c r="CY101" s="43" t="s">
        <v>1721</v>
      </c>
      <c r="CZ101" s="43" t="s">
        <v>109</v>
      </c>
      <c r="DA101" s="43" t="s">
        <v>1470</v>
      </c>
      <c r="DB101" s="43"/>
      <c r="DC101" s="43"/>
      <c r="DD101" s="43"/>
      <c r="DE101" s="43"/>
      <c r="DF101" s="43"/>
    </row>
    <row r="102" spans="1:110" ht="14">
      <c r="A102" s="27" t="s">
        <v>560</v>
      </c>
      <c r="B102" t="s">
        <v>1715</v>
      </c>
      <c r="C102" s="27" t="s">
        <v>561</v>
      </c>
      <c r="D102" s="27" t="s">
        <v>1650</v>
      </c>
      <c r="E102" s="27" t="s">
        <v>1651</v>
      </c>
      <c r="F102" s="39">
        <v>43700383098.589996</v>
      </c>
      <c r="G102" s="39">
        <v>10762786</v>
      </c>
      <c r="H102" s="40">
        <v>2020</v>
      </c>
      <c r="I102" s="39">
        <v>3561640</v>
      </c>
      <c r="J102" s="27" t="s">
        <v>94</v>
      </c>
      <c r="K102" s="41">
        <v>0.90663493710821519</v>
      </c>
      <c r="L102" s="39">
        <v>3768839.3811767157</v>
      </c>
      <c r="M102" s="39">
        <v>11165043</v>
      </c>
      <c r="N102" s="41">
        <v>0.9248139344998163</v>
      </c>
      <c r="O102" s="39">
        <v>4465561.0169464694</v>
      </c>
      <c r="P102" s="39">
        <v>12348965</v>
      </c>
      <c r="Q102" s="41">
        <v>0.99072381734492099</v>
      </c>
      <c r="R102" s="39">
        <v>5901858.5470596543</v>
      </c>
      <c r="S102" s="39">
        <v>14360147</v>
      </c>
      <c r="T102" s="41">
        <v>1.125996514617595</v>
      </c>
      <c r="U102" s="39">
        <v>7850314.9012195142</v>
      </c>
      <c r="V102" s="39">
        <v>16282670</v>
      </c>
      <c r="W102" s="41">
        <v>1.3208959008648862</v>
      </c>
      <c r="X102" s="42">
        <v>0.51</v>
      </c>
      <c r="Y102" s="42">
        <v>0.04</v>
      </c>
      <c r="Z102" s="42">
        <v>0.04</v>
      </c>
      <c r="AA102" s="42">
        <v>0.14000000000000001</v>
      </c>
      <c r="AB102" s="42">
        <v>0.15</v>
      </c>
      <c r="AC102" s="42"/>
      <c r="AD102" s="42"/>
      <c r="AE102" s="42">
        <v>0.01</v>
      </c>
      <c r="AF102" s="42">
        <v>0.01</v>
      </c>
      <c r="AG102" s="42"/>
      <c r="AH102" s="42"/>
      <c r="AI102" s="42"/>
      <c r="AJ102" s="42">
        <v>0.1</v>
      </c>
      <c r="AK102" s="39"/>
      <c r="AL102" s="39">
        <v>45300</v>
      </c>
      <c r="AM102" s="39"/>
      <c r="AN102" s="39">
        <v>69000</v>
      </c>
      <c r="AO102" s="39">
        <v>75715</v>
      </c>
      <c r="AP102" s="39">
        <v>574000</v>
      </c>
      <c r="AQ102" s="39"/>
      <c r="AR102" s="39">
        <v>4000</v>
      </c>
      <c r="AS102" s="42"/>
      <c r="AT102" s="42"/>
      <c r="AU102" s="42"/>
      <c r="AV102" s="42"/>
      <c r="AW102" s="42">
        <v>0.7</v>
      </c>
      <c r="AX102" s="42"/>
      <c r="AY102" s="42"/>
      <c r="AZ102" s="42">
        <v>0.84199999999999997</v>
      </c>
      <c r="BA102" s="42"/>
      <c r="BB102" s="42"/>
      <c r="BC102" s="42">
        <v>0.9</v>
      </c>
      <c r="BD102" s="42">
        <v>0.45</v>
      </c>
      <c r="BE102" s="42"/>
      <c r="BF102" s="42"/>
      <c r="BG102" s="42">
        <v>0.48</v>
      </c>
      <c r="BH102" s="42"/>
      <c r="BI102" s="42"/>
      <c r="BJ102" s="42">
        <v>7.0000000000000007E-2</v>
      </c>
      <c r="BK102" s="42"/>
      <c r="BL102" s="42"/>
      <c r="BM102" s="42"/>
      <c r="BN102" s="42"/>
      <c r="BO102" s="42"/>
      <c r="BP102" s="42"/>
      <c r="BQ102" s="42"/>
      <c r="BR102" s="42"/>
      <c r="BS102" s="42"/>
      <c r="BT102" s="42"/>
      <c r="BU102" s="42"/>
      <c r="BV102" s="42"/>
      <c r="BW102" s="39">
        <v>6400</v>
      </c>
      <c r="BX102" s="39"/>
      <c r="BY102" s="39">
        <v>6500</v>
      </c>
      <c r="BZ102" s="39"/>
      <c r="CA102" s="39"/>
      <c r="CB102" s="27" t="s">
        <v>95</v>
      </c>
      <c r="CC102" s="27" t="s">
        <v>96</v>
      </c>
      <c r="CD102" s="27" t="s">
        <v>96</v>
      </c>
      <c r="CE102" s="27" t="s">
        <v>562</v>
      </c>
      <c r="CF102" s="27" t="s">
        <v>96</v>
      </c>
      <c r="CG102" s="27" t="s">
        <v>96</v>
      </c>
      <c r="CH102" s="27" t="s">
        <v>95</v>
      </c>
      <c r="CI102" s="27"/>
      <c r="CJ102" s="27" t="s">
        <v>563</v>
      </c>
      <c r="CK102" s="27"/>
      <c r="CL102" s="27"/>
      <c r="CM102" s="27"/>
      <c r="CN102" s="27" t="s">
        <v>96</v>
      </c>
      <c r="CO102" s="27"/>
      <c r="CP102" s="27"/>
      <c r="CQ102" s="27"/>
      <c r="CR102" s="43" t="s">
        <v>96</v>
      </c>
      <c r="CS102" s="43" t="s">
        <v>96</v>
      </c>
      <c r="CT102" s="43"/>
      <c r="CU102" s="43"/>
      <c r="CV102" s="43" t="s">
        <v>96</v>
      </c>
      <c r="CW102" s="43"/>
      <c r="CX102" s="43"/>
      <c r="CY102" s="43" t="s">
        <v>1721</v>
      </c>
      <c r="CZ102" s="43" t="s">
        <v>109</v>
      </c>
      <c r="DA102" s="43" t="s">
        <v>1470</v>
      </c>
      <c r="DB102" s="43"/>
      <c r="DC102" s="43"/>
      <c r="DD102" s="43"/>
      <c r="DE102" s="43"/>
      <c r="DF102" s="43"/>
    </row>
    <row r="103" spans="1:110" ht="14">
      <c r="A103" s="27" t="s">
        <v>564</v>
      </c>
      <c r="B103" s="27" t="s">
        <v>1713</v>
      </c>
      <c r="C103" s="27" t="s">
        <v>565</v>
      </c>
      <c r="D103" s="27" t="s">
        <v>1650</v>
      </c>
      <c r="E103" s="27" t="s">
        <v>1650</v>
      </c>
      <c r="F103" s="39">
        <v>261840101060</v>
      </c>
      <c r="G103" s="39">
        <v>20196000</v>
      </c>
      <c r="H103" s="40">
        <v>2023</v>
      </c>
      <c r="I103" s="39">
        <v>4142952</v>
      </c>
      <c r="J103" s="27" t="s">
        <v>194</v>
      </c>
      <c r="K103" s="41">
        <v>0.56201987644372819</v>
      </c>
      <c r="L103" s="39">
        <v>4018396.8384510926</v>
      </c>
      <c r="M103" s="39">
        <v>19873218</v>
      </c>
      <c r="N103" s="41">
        <v>0.55397703616572425</v>
      </c>
      <c r="O103" s="39">
        <v>4759977.9357469389</v>
      </c>
      <c r="P103" s="39">
        <v>21890421</v>
      </c>
      <c r="Q103" s="41">
        <v>0.59574164610185298</v>
      </c>
      <c r="R103" s="39">
        <v>5582618.3924329868</v>
      </c>
      <c r="S103" s="39">
        <v>24130360</v>
      </c>
      <c r="T103" s="41">
        <v>0.63384238406618487</v>
      </c>
      <c r="U103" s="39">
        <v>6338734.4375221534</v>
      </c>
      <c r="V103" s="39">
        <v>26436975</v>
      </c>
      <c r="W103" s="41">
        <v>0.65689798924569753</v>
      </c>
      <c r="X103" s="42">
        <v>0.3</v>
      </c>
      <c r="Y103" s="42">
        <v>0.05</v>
      </c>
      <c r="Z103" s="42">
        <v>0.03</v>
      </c>
      <c r="AA103" s="42">
        <v>0.25</v>
      </c>
      <c r="AB103" s="42">
        <v>0.25</v>
      </c>
      <c r="AC103" s="42"/>
      <c r="AD103" s="42"/>
      <c r="AE103" s="42"/>
      <c r="AF103" s="42">
        <v>4.0000000000000002E-4</v>
      </c>
      <c r="AG103" s="42">
        <v>1E-4</v>
      </c>
      <c r="AH103" s="42"/>
      <c r="AI103" s="42"/>
      <c r="AJ103" s="42">
        <v>0.1195</v>
      </c>
      <c r="AK103" s="39"/>
      <c r="AL103" s="39"/>
      <c r="AM103" s="39"/>
      <c r="AN103" s="39">
        <v>196000</v>
      </c>
      <c r="AO103" s="39">
        <v>42090227.600000001</v>
      </c>
      <c r="AP103" s="39"/>
      <c r="AQ103" s="39"/>
      <c r="AR103" s="39"/>
      <c r="AS103" s="42"/>
      <c r="AT103" s="42"/>
      <c r="AU103" s="42"/>
      <c r="AV103" s="42"/>
      <c r="AW103" s="42"/>
      <c r="AX103" s="42"/>
      <c r="AY103" s="42">
        <v>0.82</v>
      </c>
      <c r="AZ103" s="42"/>
      <c r="BA103" s="42"/>
      <c r="BB103" s="42"/>
      <c r="BC103" s="42"/>
      <c r="BD103" s="42"/>
      <c r="BE103" s="42"/>
      <c r="BF103" s="42"/>
      <c r="BG103" s="42">
        <v>0.68620032661948804</v>
      </c>
      <c r="BH103" s="42"/>
      <c r="BI103" s="42"/>
      <c r="BJ103" s="42">
        <v>0.111241154055525</v>
      </c>
      <c r="BK103" s="42"/>
      <c r="BL103" s="42"/>
      <c r="BM103" s="42"/>
      <c r="BN103" s="42"/>
      <c r="BO103" s="42"/>
      <c r="BP103" s="42">
        <v>0.2026</v>
      </c>
      <c r="BQ103" s="42"/>
      <c r="BR103" s="42"/>
      <c r="BS103" s="42"/>
      <c r="BT103" s="42"/>
      <c r="BU103" s="42"/>
      <c r="BV103" s="42"/>
      <c r="BW103" s="39"/>
      <c r="BX103" s="39"/>
      <c r="BY103" s="39"/>
      <c r="BZ103" s="39"/>
      <c r="CA103" s="39"/>
      <c r="CB103" s="27" t="s">
        <v>95</v>
      </c>
      <c r="CC103" s="27" t="s">
        <v>96</v>
      </c>
      <c r="CD103" s="27" t="s">
        <v>96</v>
      </c>
      <c r="CE103" s="27" t="s">
        <v>566</v>
      </c>
      <c r="CF103" s="27" t="s">
        <v>96</v>
      </c>
      <c r="CG103" s="27" t="s">
        <v>96</v>
      </c>
      <c r="CH103" s="27" t="s">
        <v>95</v>
      </c>
      <c r="CI103" s="27"/>
      <c r="CJ103" s="27" t="s">
        <v>1581</v>
      </c>
      <c r="CK103" s="27"/>
      <c r="CL103" s="27" t="s">
        <v>96</v>
      </c>
      <c r="CM103" s="27" t="s">
        <v>567</v>
      </c>
      <c r="CN103" s="27" t="s">
        <v>96</v>
      </c>
      <c r="CO103" s="27"/>
      <c r="CP103" s="27"/>
      <c r="CQ103" s="27"/>
      <c r="CR103" s="43" t="s">
        <v>96</v>
      </c>
      <c r="CS103" s="43" t="s">
        <v>96</v>
      </c>
      <c r="CT103" s="43"/>
      <c r="CU103" s="43"/>
      <c r="CV103" s="43" t="s">
        <v>96</v>
      </c>
      <c r="CW103" s="43" t="s">
        <v>96</v>
      </c>
      <c r="CX103" s="43" t="s">
        <v>96</v>
      </c>
      <c r="CY103" s="43" t="s">
        <v>1721</v>
      </c>
      <c r="CZ103" s="43" t="s">
        <v>109</v>
      </c>
      <c r="DA103" s="43" t="s">
        <v>1470</v>
      </c>
      <c r="DB103" s="43"/>
      <c r="DC103" s="43"/>
      <c r="DD103" s="43"/>
      <c r="DE103" s="43"/>
      <c r="DF103" s="43"/>
    </row>
    <row r="104" spans="1:110" ht="14">
      <c r="A104" s="27" t="s">
        <v>568</v>
      </c>
      <c r="B104" s="33" t="s">
        <v>1693</v>
      </c>
      <c r="C104" s="27" t="s">
        <v>569</v>
      </c>
      <c r="D104" s="27" t="s">
        <v>1651</v>
      </c>
      <c r="E104" s="27" t="s">
        <v>1651</v>
      </c>
      <c r="F104" s="39">
        <v>109703658904.99001</v>
      </c>
      <c r="G104" s="39">
        <v>52726921</v>
      </c>
      <c r="H104" s="40">
        <v>2021</v>
      </c>
      <c r="I104" s="39">
        <v>3450500</v>
      </c>
      <c r="J104" s="27" t="s">
        <v>94</v>
      </c>
      <c r="K104" s="41">
        <v>0.17929028432239097</v>
      </c>
      <c r="L104" s="39">
        <v>3596046.8962594797</v>
      </c>
      <c r="M104" s="39">
        <v>53711410</v>
      </c>
      <c r="N104" s="41">
        <v>0.18342812593121705</v>
      </c>
      <c r="O104" s="39">
        <v>5163260.7505841665</v>
      </c>
      <c r="P104" s="39">
        <v>62539756</v>
      </c>
      <c r="Q104" s="41">
        <v>0.22619083874606344</v>
      </c>
      <c r="R104" s="39">
        <v>7661732.7184619354</v>
      </c>
      <c r="S104" s="39">
        <v>73586305</v>
      </c>
      <c r="T104" s="41">
        <v>0.2852575427415649</v>
      </c>
      <c r="U104" s="39">
        <v>10671916.927558327</v>
      </c>
      <c r="V104" s="39">
        <v>83160549</v>
      </c>
      <c r="W104" s="41">
        <v>0.35158652654701639</v>
      </c>
      <c r="X104" s="42">
        <v>0.58799999999999997</v>
      </c>
      <c r="Y104" s="42"/>
      <c r="Z104" s="42"/>
      <c r="AA104" s="42">
        <v>0.113</v>
      </c>
      <c r="AB104" s="42">
        <v>0.13800000000000001</v>
      </c>
      <c r="AC104" s="42"/>
      <c r="AD104" s="42"/>
      <c r="AE104" s="42"/>
      <c r="AF104" s="42">
        <v>7.8E-2</v>
      </c>
      <c r="AG104" s="42"/>
      <c r="AH104" s="42"/>
      <c r="AI104" s="42"/>
      <c r="AJ104" s="42">
        <v>8.3000000000000004E-2</v>
      </c>
      <c r="AK104" s="39"/>
      <c r="AL104" s="39"/>
      <c r="AM104" s="39"/>
      <c r="AN104" s="39">
        <v>88000</v>
      </c>
      <c r="AO104" s="39">
        <v>38347</v>
      </c>
      <c r="AP104" s="39"/>
      <c r="AQ104" s="39">
        <v>8253</v>
      </c>
      <c r="AR104" s="39"/>
      <c r="AS104" s="42"/>
      <c r="AT104" s="42"/>
      <c r="AU104" s="42"/>
      <c r="AV104" s="42"/>
      <c r="AW104" s="42"/>
      <c r="AX104" s="42"/>
      <c r="AY104" s="42"/>
      <c r="AZ104" s="42">
        <v>0.68239385596290403</v>
      </c>
      <c r="BA104" s="42"/>
      <c r="BB104" s="42"/>
      <c r="BC104" s="42"/>
      <c r="BD104" s="42"/>
      <c r="BE104" s="42"/>
      <c r="BF104" s="42"/>
      <c r="BG104" s="42">
        <v>0.68239385596290403</v>
      </c>
      <c r="BH104" s="42"/>
      <c r="BI104" s="42"/>
      <c r="BJ104" s="42"/>
      <c r="BK104" s="42"/>
      <c r="BL104" s="42"/>
      <c r="BM104" s="42"/>
      <c r="BN104" s="42"/>
      <c r="BO104" s="42">
        <v>0.31759999999999999</v>
      </c>
      <c r="BP104" s="42"/>
      <c r="BQ104" s="42">
        <v>0.138461538461538</v>
      </c>
      <c r="BR104" s="42">
        <v>0.53846153846153799</v>
      </c>
      <c r="BS104" s="42">
        <v>4.1025641025640998E-2</v>
      </c>
      <c r="BT104" s="42"/>
      <c r="BU104" s="42">
        <v>0.235897435897436</v>
      </c>
      <c r="BV104" s="42">
        <v>4.6153846153846198E-2</v>
      </c>
      <c r="BW104" s="39"/>
      <c r="BX104" s="39"/>
      <c r="BY104" s="39"/>
      <c r="BZ104" s="39"/>
      <c r="CA104" s="39"/>
      <c r="CB104" s="27" t="s">
        <v>96</v>
      </c>
      <c r="CC104" s="27" t="s">
        <v>96</v>
      </c>
      <c r="CD104" s="27" t="s">
        <v>96</v>
      </c>
      <c r="CE104" s="27" t="s">
        <v>570</v>
      </c>
      <c r="CF104" s="27" t="s">
        <v>96</v>
      </c>
      <c r="CG104" s="27" t="s">
        <v>96</v>
      </c>
      <c r="CH104" s="27" t="s">
        <v>96</v>
      </c>
      <c r="CI104" s="27" t="s">
        <v>95</v>
      </c>
      <c r="CJ104" s="27" t="s">
        <v>571</v>
      </c>
      <c r="CK104" s="27"/>
      <c r="CL104" s="27" t="s">
        <v>96</v>
      </c>
      <c r="CM104" s="27" t="s">
        <v>572</v>
      </c>
      <c r="CN104" s="27" t="s">
        <v>96</v>
      </c>
      <c r="CO104" s="27"/>
      <c r="CP104" s="27"/>
      <c r="CQ104" s="27"/>
      <c r="CR104" s="43" t="s">
        <v>96</v>
      </c>
      <c r="CS104" s="43" t="s">
        <v>96</v>
      </c>
      <c r="CT104" s="43" t="s">
        <v>96</v>
      </c>
      <c r="CU104" s="43"/>
      <c r="CV104" s="43" t="s">
        <v>96</v>
      </c>
      <c r="CW104" s="43" t="s">
        <v>96</v>
      </c>
      <c r="CX104" s="43" t="s">
        <v>96</v>
      </c>
      <c r="CY104" s="43" t="s">
        <v>1723</v>
      </c>
      <c r="CZ104" s="43" t="s">
        <v>109</v>
      </c>
      <c r="DA104" s="43" t="s">
        <v>1470</v>
      </c>
      <c r="DB104" s="43"/>
      <c r="DC104" s="43"/>
      <c r="DD104" s="43"/>
      <c r="DE104" s="43"/>
      <c r="DF104" s="43"/>
    </row>
    <row r="105" spans="1:110" ht="14">
      <c r="A105" s="27" t="s">
        <v>573</v>
      </c>
      <c r="B105" s="47" t="s">
        <v>1712</v>
      </c>
      <c r="C105" s="27" t="s">
        <v>574</v>
      </c>
      <c r="D105" s="27" t="s">
        <v>1651</v>
      </c>
      <c r="E105" s="27" t="s">
        <v>1651</v>
      </c>
      <c r="F105" s="39">
        <v>285259894</v>
      </c>
      <c r="G105" s="39">
        <v>127351</v>
      </c>
      <c r="H105" s="40">
        <v>2021</v>
      </c>
      <c r="I105" s="39">
        <v>14263.312</v>
      </c>
      <c r="J105" s="27" t="s">
        <v>152</v>
      </c>
      <c r="K105" s="41">
        <v>0.30684931506849317</v>
      </c>
      <c r="L105" s="39">
        <v>14747.376758829449</v>
      </c>
      <c r="M105" s="39">
        <v>129402.99999999999</v>
      </c>
      <c r="N105" s="41">
        <v>0.31223211163573095</v>
      </c>
      <c r="O105" s="39">
        <v>18442.426490415881</v>
      </c>
      <c r="P105" s="39">
        <v>145180</v>
      </c>
      <c r="Q105" s="41">
        <v>0.3480313807973075</v>
      </c>
      <c r="R105" s="39">
        <v>21433.031467821369</v>
      </c>
      <c r="S105" s="39">
        <v>163808</v>
      </c>
      <c r="T105" s="41">
        <v>0.35847232222122671</v>
      </c>
      <c r="U105" s="39">
        <v>24498.066968812182</v>
      </c>
      <c r="V105" s="39">
        <v>181780</v>
      </c>
      <c r="W105" s="41">
        <v>0.36922649188786355</v>
      </c>
      <c r="X105" s="42">
        <v>0.66790000000000005</v>
      </c>
      <c r="Y105" s="42">
        <v>2.3900000000000001E-2</v>
      </c>
      <c r="Z105" s="42">
        <v>0.1036</v>
      </c>
      <c r="AA105" s="42">
        <v>8.6300000000000002E-2</v>
      </c>
      <c r="AB105" s="42">
        <v>5.7299999999999997E-2</v>
      </c>
      <c r="AC105" s="42"/>
      <c r="AD105" s="42"/>
      <c r="AE105" s="42"/>
      <c r="AF105" s="42"/>
      <c r="AG105" s="42"/>
      <c r="AH105" s="42"/>
      <c r="AI105" s="42"/>
      <c r="AJ105" s="42">
        <v>6.0999999999999999E-2</v>
      </c>
      <c r="AK105" s="39"/>
      <c r="AL105" s="39"/>
      <c r="AM105" s="39"/>
      <c r="AN105" s="39">
        <v>200</v>
      </c>
      <c r="AO105" s="39"/>
      <c r="AP105" s="39"/>
      <c r="AQ105" s="39"/>
      <c r="AR105" s="39"/>
      <c r="AS105" s="42"/>
      <c r="AT105" s="42"/>
      <c r="AU105" s="42"/>
      <c r="AV105" s="42"/>
      <c r="AW105" s="42"/>
      <c r="AX105" s="42">
        <v>0.40089999999999998</v>
      </c>
      <c r="AY105" s="42">
        <v>0.54</v>
      </c>
      <c r="AZ105" s="42">
        <v>0.53069999999999995</v>
      </c>
      <c r="BA105" s="42"/>
      <c r="BB105" s="42">
        <v>1</v>
      </c>
      <c r="BC105" s="42"/>
      <c r="BD105" s="42"/>
      <c r="BE105" s="42"/>
      <c r="BF105" s="42"/>
      <c r="BG105" s="42">
        <v>0.52815833462908401</v>
      </c>
      <c r="BH105" s="42"/>
      <c r="BI105" s="42"/>
      <c r="BJ105" s="42">
        <v>2.5416653709156899E-3</v>
      </c>
      <c r="BK105" s="42"/>
      <c r="BL105" s="42"/>
      <c r="BM105" s="42"/>
      <c r="BN105" s="42"/>
      <c r="BO105" s="42">
        <v>0.46929999999999999</v>
      </c>
      <c r="BP105" s="42"/>
      <c r="BQ105" s="42"/>
      <c r="BR105" s="42"/>
      <c r="BS105" s="42"/>
      <c r="BT105" s="42"/>
      <c r="BU105" s="42"/>
      <c r="BV105" s="42"/>
      <c r="BW105" s="39"/>
      <c r="BX105" s="39"/>
      <c r="BY105" s="39"/>
      <c r="BZ105" s="39"/>
      <c r="CA105" s="39"/>
      <c r="CB105" s="27" t="s">
        <v>95</v>
      </c>
      <c r="CC105" s="27" t="s">
        <v>96</v>
      </c>
      <c r="CD105" s="27" t="s">
        <v>95</v>
      </c>
      <c r="CE105" s="27" t="s">
        <v>575</v>
      </c>
      <c r="CF105" s="27" t="s">
        <v>96</v>
      </c>
      <c r="CG105" s="27" t="s">
        <v>96</v>
      </c>
      <c r="CH105" s="27" t="s">
        <v>96</v>
      </c>
      <c r="CI105" s="27" t="s">
        <v>576</v>
      </c>
      <c r="CJ105" s="27" t="s">
        <v>1583</v>
      </c>
      <c r="CK105" s="27"/>
      <c r="CL105" s="27"/>
      <c r="CM105" s="27"/>
      <c r="CN105" s="27"/>
      <c r="CO105" s="27"/>
      <c r="CP105" s="27" t="s">
        <v>96</v>
      </c>
      <c r="CQ105" s="27"/>
      <c r="CR105" s="43"/>
      <c r="CS105" s="43"/>
      <c r="CT105" s="43"/>
      <c r="CU105" s="43"/>
      <c r="CV105" s="43"/>
      <c r="CW105" s="43"/>
      <c r="CX105" s="43"/>
      <c r="CY105" s="43"/>
      <c r="CZ105" s="43"/>
      <c r="DA105" s="43"/>
      <c r="DB105" s="43" t="s">
        <v>96</v>
      </c>
      <c r="DC105" s="43" t="s">
        <v>168</v>
      </c>
      <c r="DD105" s="43" t="s">
        <v>1472</v>
      </c>
      <c r="DE105" s="43" t="s">
        <v>109</v>
      </c>
      <c r="DF105" s="43" t="s">
        <v>1470</v>
      </c>
    </row>
    <row r="106" spans="1:110" ht="14">
      <c r="A106" s="27" t="s">
        <v>577</v>
      </c>
      <c r="B106" s="47" t="s">
        <v>1712</v>
      </c>
      <c r="C106" s="27" t="s">
        <v>578</v>
      </c>
      <c r="D106" s="27" t="s">
        <v>122</v>
      </c>
      <c r="E106" s="27" t="s">
        <v>122</v>
      </c>
      <c r="F106" s="39">
        <v>1673916511799.71</v>
      </c>
      <c r="G106" s="39">
        <v>51805631</v>
      </c>
      <c r="H106" s="40">
        <v>2022</v>
      </c>
      <c r="I106" s="39">
        <v>23038561.400207002</v>
      </c>
      <c r="J106" s="27" t="s">
        <v>94</v>
      </c>
      <c r="K106" s="41">
        <v>1.2183877521332958</v>
      </c>
      <c r="L106" s="39">
        <v>23038561.400206998</v>
      </c>
      <c r="M106" s="39">
        <v>51805631</v>
      </c>
      <c r="N106" s="41">
        <v>1.2183877521332958</v>
      </c>
      <c r="O106" s="39">
        <v>23955080.163533188</v>
      </c>
      <c r="P106" s="39">
        <v>51255051</v>
      </c>
      <c r="Q106" s="41">
        <v>1.2804661264002974</v>
      </c>
      <c r="R106" s="39">
        <v>23826399.940866262</v>
      </c>
      <c r="S106" s="39">
        <v>49103340</v>
      </c>
      <c r="T106" s="41">
        <v>1.3293964943559409</v>
      </c>
      <c r="U106" s="39">
        <v>22596401.582020294</v>
      </c>
      <c r="V106" s="39">
        <v>45373929</v>
      </c>
      <c r="W106" s="41">
        <v>1.3643947285186968</v>
      </c>
      <c r="X106" s="42">
        <v>0.242451590035731</v>
      </c>
      <c r="Y106" s="42">
        <v>2.25972867185892E-2</v>
      </c>
      <c r="Z106" s="42">
        <v>1.8274489972981402E-2</v>
      </c>
      <c r="AA106" s="42">
        <v>0.12731119278887101</v>
      </c>
      <c r="AB106" s="42">
        <v>0.24186657344555099</v>
      </c>
      <c r="AC106" s="42">
        <v>7.9686920268533107E-3</v>
      </c>
      <c r="AD106" s="42">
        <v>5.3161389568230397E-2</v>
      </c>
      <c r="AE106" s="42"/>
      <c r="AF106" s="42">
        <v>2.3641210447454701E-2</v>
      </c>
      <c r="AG106" s="42">
        <v>7.6864223748106496E-3</v>
      </c>
      <c r="AH106" s="42"/>
      <c r="AI106" s="42"/>
      <c r="AJ106" s="42">
        <v>0.25504115262092703</v>
      </c>
      <c r="AK106" s="39">
        <v>13786268.175951</v>
      </c>
      <c r="AL106" s="39"/>
      <c r="AM106" s="39"/>
      <c r="AN106" s="39">
        <v>930000</v>
      </c>
      <c r="AO106" s="39">
        <v>5944585.2430309998</v>
      </c>
      <c r="AP106" s="39"/>
      <c r="AQ106" s="39">
        <v>133158.69086</v>
      </c>
      <c r="AR106" s="39">
        <v>229502.64212100001</v>
      </c>
      <c r="AS106" s="42"/>
      <c r="AT106" s="42"/>
      <c r="AU106" s="42"/>
      <c r="AV106" s="42"/>
      <c r="AW106" s="42"/>
      <c r="AX106" s="42">
        <v>0.99963371854685101</v>
      </c>
      <c r="AY106" s="42">
        <v>0.99973474510248905</v>
      </c>
      <c r="AZ106" s="42"/>
      <c r="BA106" s="42"/>
      <c r="BB106" s="42"/>
      <c r="BC106" s="42"/>
      <c r="BD106" s="42"/>
      <c r="BE106" s="42"/>
      <c r="BF106" s="42">
        <v>0.10227826117558</v>
      </c>
      <c r="BG106" s="42"/>
      <c r="BH106" s="42"/>
      <c r="BI106" s="42">
        <v>0.21408680955902401</v>
      </c>
      <c r="BJ106" s="42">
        <v>0.38431288808126002</v>
      </c>
      <c r="BK106" s="42">
        <v>0.24003849859871501</v>
      </c>
      <c r="BL106" s="42"/>
      <c r="BM106" s="42"/>
      <c r="BN106" s="42">
        <v>5.92838231638773E-2</v>
      </c>
      <c r="BO106" s="42"/>
      <c r="BP106" s="42"/>
      <c r="BQ106" s="42"/>
      <c r="BR106" s="42"/>
      <c r="BS106" s="42"/>
      <c r="BT106" s="42"/>
      <c r="BU106" s="42"/>
      <c r="BV106" s="42"/>
      <c r="BW106" s="39">
        <v>40470</v>
      </c>
      <c r="BX106" s="39"/>
      <c r="BY106" s="39"/>
      <c r="BZ106" s="39"/>
      <c r="CA106" s="39"/>
      <c r="CB106" s="27" t="s">
        <v>96</v>
      </c>
      <c r="CC106" s="27" t="s">
        <v>96</v>
      </c>
      <c r="CD106" s="27" t="s">
        <v>96</v>
      </c>
      <c r="CE106" s="27" t="s">
        <v>579</v>
      </c>
      <c r="CF106" s="27" t="s">
        <v>96</v>
      </c>
      <c r="CG106" s="27" t="s">
        <v>96</v>
      </c>
      <c r="CH106" s="27" t="s">
        <v>96</v>
      </c>
      <c r="CI106" s="27" t="s">
        <v>580</v>
      </c>
      <c r="CJ106" s="27" t="s">
        <v>581</v>
      </c>
      <c r="CK106" s="48"/>
      <c r="CL106" s="27" t="s">
        <v>96</v>
      </c>
      <c r="CM106" s="43" t="s">
        <v>582</v>
      </c>
      <c r="CN106" s="27" t="s">
        <v>96</v>
      </c>
      <c r="CO106" s="43" t="s">
        <v>582</v>
      </c>
      <c r="CP106" s="27" t="s">
        <v>96</v>
      </c>
      <c r="CQ106" s="43" t="s">
        <v>582</v>
      </c>
      <c r="CR106" s="43" t="s">
        <v>96</v>
      </c>
      <c r="CS106" s="43" t="s">
        <v>96</v>
      </c>
      <c r="CT106" s="43" t="s">
        <v>96</v>
      </c>
      <c r="CU106" s="43"/>
      <c r="CV106" s="43" t="s">
        <v>96</v>
      </c>
      <c r="CW106" s="43" t="s">
        <v>96</v>
      </c>
      <c r="CX106" s="43" t="s">
        <v>96</v>
      </c>
      <c r="CY106" s="43" t="s">
        <v>1722</v>
      </c>
      <c r="CZ106" s="43" t="s">
        <v>109</v>
      </c>
      <c r="DA106" s="43" t="s">
        <v>1470</v>
      </c>
      <c r="DB106" s="43" t="s">
        <v>96</v>
      </c>
      <c r="DC106" s="43" t="s">
        <v>1726</v>
      </c>
      <c r="DD106" s="43" t="s">
        <v>1069</v>
      </c>
      <c r="DE106" s="43" t="s">
        <v>109</v>
      </c>
      <c r="DF106" s="43" t="s">
        <v>1470</v>
      </c>
    </row>
    <row r="107" spans="1:110" ht="14">
      <c r="A107" s="27" t="s">
        <v>584</v>
      </c>
      <c r="B107" s="27" t="s">
        <v>1713</v>
      </c>
      <c r="C107" s="27" t="s">
        <v>585</v>
      </c>
      <c r="D107" s="27" t="s">
        <v>1650</v>
      </c>
      <c r="E107" s="27" t="s">
        <v>1650</v>
      </c>
      <c r="F107" s="39">
        <v>9354903061.8899994</v>
      </c>
      <c r="G107" s="39">
        <v>1726752</v>
      </c>
      <c r="H107" s="40">
        <v>2022</v>
      </c>
      <c r="I107" s="39">
        <v>501000</v>
      </c>
      <c r="J107" s="27" t="s">
        <v>94</v>
      </c>
      <c r="K107" s="41">
        <v>0.79490438680599618</v>
      </c>
      <c r="L107" s="39">
        <v>501000.00000000012</v>
      </c>
      <c r="M107" s="39">
        <v>1726752</v>
      </c>
      <c r="N107" s="41">
        <v>0.79490438680599618</v>
      </c>
      <c r="O107" s="39">
        <v>546704.73029772937</v>
      </c>
      <c r="P107" s="39">
        <v>1661087</v>
      </c>
      <c r="Q107" s="41">
        <v>0.90171145695432486</v>
      </c>
      <c r="R107" s="39">
        <v>626050.5940393249</v>
      </c>
      <c r="S107" s="39">
        <v>1673834</v>
      </c>
      <c r="T107" s="41">
        <v>1.0247175687416163</v>
      </c>
      <c r="U107" s="39">
        <v>676936.27588684415</v>
      </c>
      <c r="V107" s="39">
        <v>1646613</v>
      </c>
      <c r="W107" s="41">
        <v>1.126324117407405</v>
      </c>
      <c r="X107" s="42">
        <v>0.42</v>
      </c>
      <c r="Y107" s="42">
        <v>6.5699999999999995E-2</v>
      </c>
      <c r="Z107" s="42">
        <v>5.5899999999999998E-2</v>
      </c>
      <c r="AA107" s="42">
        <v>0.08</v>
      </c>
      <c r="AB107" s="42">
        <v>0.11</v>
      </c>
      <c r="AC107" s="42"/>
      <c r="AD107" s="42">
        <v>7.0000000000000007E-2</v>
      </c>
      <c r="AE107" s="42"/>
      <c r="AF107" s="42">
        <v>6.7500000000000004E-2</v>
      </c>
      <c r="AG107" s="42"/>
      <c r="AH107" s="42">
        <v>2.8E-3</v>
      </c>
      <c r="AI107" s="42"/>
      <c r="AJ107" s="42">
        <v>0.12809999999999999</v>
      </c>
      <c r="AK107" s="39"/>
      <c r="AL107" s="39"/>
      <c r="AM107" s="39">
        <v>82335</v>
      </c>
      <c r="AN107" s="39"/>
      <c r="AO107" s="39"/>
      <c r="AP107" s="39">
        <v>335452</v>
      </c>
      <c r="AQ107" s="39">
        <v>9981</v>
      </c>
      <c r="AR107" s="39">
        <v>762.80899999999997</v>
      </c>
      <c r="AS107" s="42"/>
      <c r="AT107" s="42"/>
      <c r="AU107" s="42"/>
      <c r="AV107" s="42"/>
      <c r="AW107" s="42"/>
      <c r="AX107" s="42">
        <v>0.9002</v>
      </c>
      <c r="AY107" s="42"/>
      <c r="AZ107" s="42"/>
      <c r="BA107" s="42"/>
      <c r="BB107" s="42"/>
      <c r="BC107" s="42"/>
      <c r="BD107" s="42"/>
      <c r="BE107" s="42"/>
      <c r="BF107" s="42"/>
      <c r="BG107" s="42">
        <v>0.97405189620758503</v>
      </c>
      <c r="BH107" s="42"/>
      <c r="BI107" s="42"/>
      <c r="BJ107" s="42">
        <v>2.59481037924152E-2</v>
      </c>
      <c r="BL107" s="42"/>
      <c r="BM107" s="42"/>
      <c r="BN107" s="42"/>
      <c r="BO107" s="42"/>
      <c r="BP107" s="42"/>
      <c r="BQ107" s="42"/>
      <c r="BR107" s="42"/>
      <c r="BS107" s="42"/>
      <c r="BT107" s="42"/>
      <c r="BU107" s="42"/>
      <c r="BV107" s="42"/>
      <c r="BW107" s="39">
        <v>2486</v>
      </c>
      <c r="BX107" s="39"/>
      <c r="BY107" s="39">
        <v>2000</v>
      </c>
      <c r="BZ107" s="39"/>
      <c r="CA107" s="39"/>
      <c r="CB107" s="27" t="s">
        <v>96</v>
      </c>
      <c r="CC107" s="27" t="s">
        <v>96</v>
      </c>
      <c r="CD107" s="27" t="s">
        <v>96</v>
      </c>
      <c r="CE107" s="27" t="s">
        <v>586</v>
      </c>
      <c r="CF107" s="27" t="s">
        <v>96</v>
      </c>
      <c r="CG107" s="27" t="s">
        <v>96</v>
      </c>
      <c r="CH107" s="27" t="s">
        <v>96</v>
      </c>
      <c r="CI107" s="27"/>
      <c r="CJ107" s="27" t="s">
        <v>1587</v>
      </c>
      <c r="CK107" s="27"/>
      <c r="CL107" s="27" t="s">
        <v>96</v>
      </c>
      <c r="CM107" s="27" t="s">
        <v>587</v>
      </c>
      <c r="CN107" s="27" t="s">
        <v>96</v>
      </c>
      <c r="CO107" s="27"/>
      <c r="CP107" s="27" t="s">
        <v>96</v>
      </c>
      <c r="CQ107" s="27"/>
      <c r="CR107" s="43" t="s">
        <v>96</v>
      </c>
      <c r="CS107" s="43" t="s">
        <v>96</v>
      </c>
      <c r="CT107" s="43"/>
      <c r="CU107" s="43"/>
      <c r="CV107" s="43"/>
      <c r="CW107" s="43"/>
      <c r="CX107" s="43"/>
      <c r="CY107" s="43" t="s">
        <v>106</v>
      </c>
      <c r="CZ107" s="43" t="s">
        <v>109</v>
      </c>
      <c r="DA107" s="43" t="s">
        <v>1470</v>
      </c>
      <c r="DB107" s="43" t="s">
        <v>96</v>
      </c>
      <c r="DC107" s="43" t="s">
        <v>168</v>
      </c>
      <c r="DD107" s="43" t="s">
        <v>1472</v>
      </c>
      <c r="DE107" s="43" t="s">
        <v>109</v>
      </c>
      <c r="DF107" s="43" t="s">
        <v>1470</v>
      </c>
    </row>
    <row r="108" spans="1:110" ht="14">
      <c r="A108" s="27" t="s">
        <v>588</v>
      </c>
      <c r="B108" t="s">
        <v>1715</v>
      </c>
      <c r="C108" s="27" t="s">
        <v>589</v>
      </c>
      <c r="D108" s="27" t="s">
        <v>122</v>
      </c>
      <c r="E108" s="27" t="s">
        <v>122</v>
      </c>
      <c r="F108" s="39">
        <v>165384407267</v>
      </c>
      <c r="G108" s="39">
        <v>4793420</v>
      </c>
      <c r="H108" s="40">
        <v>2023</v>
      </c>
      <c r="I108" s="39">
        <v>3827000</v>
      </c>
      <c r="J108" s="27" t="s">
        <v>102</v>
      </c>
      <c r="K108" s="41">
        <v>2.1873592355456677</v>
      </c>
      <c r="L108" s="39">
        <v>3536173.1418351578</v>
      </c>
      <c r="M108" s="39">
        <v>4385601</v>
      </c>
      <c r="N108" s="41">
        <v>2.2090804872739054</v>
      </c>
      <c r="O108" s="39">
        <v>4384475.3460758617</v>
      </c>
      <c r="P108" s="39">
        <v>5300697</v>
      </c>
      <c r="Q108" s="41">
        <v>2.2661663592779679</v>
      </c>
      <c r="R108" s="39">
        <v>5027565.7222424047</v>
      </c>
      <c r="S108" s="39">
        <v>5804569</v>
      </c>
      <c r="T108" s="41">
        <v>2.3729845684800748</v>
      </c>
      <c r="U108" s="39">
        <v>5681268.5480720168</v>
      </c>
      <c r="V108" s="39">
        <v>6340996</v>
      </c>
      <c r="W108" s="41">
        <v>2.4546805123022231</v>
      </c>
      <c r="X108" s="42">
        <v>0.47</v>
      </c>
      <c r="Y108" s="42">
        <v>3.5000000000000003E-2</v>
      </c>
      <c r="Z108" s="42">
        <v>1.4999999999999999E-2</v>
      </c>
      <c r="AA108" s="42">
        <v>0.2</v>
      </c>
      <c r="AB108" s="42">
        <v>0.2</v>
      </c>
      <c r="AC108" s="42"/>
      <c r="AD108" s="42"/>
      <c r="AE108" s="42"/>
      <c r="AF108" s="42">
        <v>0.03</v>
      </c>
      <c r="AG108" s="42"/>
      <c r="AH108" s="42"/>
      <c r="AI108" s="42"/>
      <c r="AJ108" s="42">
        <v>0.05</v>
      </c>
      <c r="AK108" s="39">
        <v>0</v>
      </c>
      <c r="AL108" s="39">
        <v>706000</v>
      </c>
      <c r="AM108" s="39">
        <v>12799000</v>
      </c>
      <c r="AN108" s="39">
        <v>56000</v>
      </c>
      <c r="AO108" s="39">
        <v>154600</v>
      </c>
      <c r="AP108" s="39">
        <v>58163</v>
      </c>
      <c r="AQ108" s="39">
        <v>15071000</v>
      </c>
      <c r="AR108" s="39">
        <v>10575949</v>
      </c>
      <c r="AS108" s="42"/>
      <c r="AT108" s="42"/>
      <c r="AU108" s="42"/>
      <c r="AV108" s="42">
        <v>1</v>
      </c>
      <c r="AW108" s="42"/>
      <c r="AX108" s="42"/>
      <c r="AY108" s="42">
        <v>1</v>
      </c>
      <c r="AZ108" s="42"/>
      <c r="BA108" s="42"/>
      <c r="BB108" s="42">
        <v>1</v>
      </c>
      <c r="BC108" s="42"/>
      <c r="BE108" s="42"/>
      <c r="BF108" s="42"/>
      <c r="BG108" s="42">
        <v>1</v>
      </c>
      <c r="BH108" s="42"/>
      <c r="BI108" s="42"/>
      <c r="BJ108" s="42"/>
      <c r="BK108" s="42"/>
      <c r="BL108" s="42"/>
      <c r="BM108" s="42"/>
      <c r="BN108" s="42"/>
      <c r="BO108" s="42"/>
      <c r="BP108" s="42"/>
      <c r="BQ108" s="42"/>
      <c r="BR108" s="42"/>
      <c r="BS108" s="42"/>
      <c r="BT108" s="42"/>
      <c r="BU108" s="42"/>
      <c r="BV108" s="42"/>
      <c r="BW108" s="39">
        <v>31500</v>
      </c>
      <c r="BX108" s="39"/>
      <c r="BY108" s="39"/>
      <c r="BZ108" s="39"/>
      <c r="CA108" s="39"/>
      <c r="CB108" s="27" t="s">
        <v>96</v>
      </c>
      <c r="CC108" s="27" t="s">
        <v>96</v>
      </c>
      <c r="CD108" s="27" t="s">
        <v>95</v>
      </c>
      <c r="CE108" s="27" t="s">
        <v>590</v>
      </c>
      <c r="CF108" s="27" t="s">
        <v>96</v>
      </c>
      <c r="CG108" s="27" t="s">
        <v>96</v>
      </c>
      <c r="CH108" s="27" t="s">
        <v>95</v>
      </c>
      <c r="CI108" s="27"/>
      <c r="CJ108" s="27" t="s">
        <v>123</v>
      </c>
      <c r="CK108" s="27"/>
      <c r="CL108" s="27"/>
      <c r="CM108" s="27"/>
      <c r="CN108" s="27" t="s">
        <v>95</v>
      </c>
      <c r="CO108" s="27"/>
      <c r="CP108" s="27"/>
      <c r="CQ108" s="27"/>
      <c r="CR108" s="43" t="s">
        <v>96</v>
      </c>
      <c r="CS108" s="43"/>
      <c r="CT108" s="43"/>
      <c r="CU108" s="43"/>
      <c r="CV108" s="43"/>
      <c r="CW108" s="43"/>
      <c r="CX108" s="43" t="s">
        <v>96</v>
      </c>
      <c r="CY108" s="43" t="s">
        <v>106</v>
      </c>
      <c r="CZ108" s="43" t="s">
        <v>198</v>
      </c>
      <c r="DA108" s="43" t="s">
        <v>1471</v>
      </c>
      <c r="DB108" s="43"/>
      <c r="DC108" s="43"/>
      <c r="DD108" s="43"/>
      <c r="DE108" s="43"/>
      <c r="DF108" s="43"/>
    </row>
    <row r="109" spans="1:110" ht="14" customHeight="1">
      <c r="A109" s="27" t="s">
        <v>591</v>
      </c>
      <c r="B109" s="27" t="s">
        <v>1713</v>
      </c>
      <c r="C109" s="27" t="s">
        <v>592</v>
      </c>
      <c r="D109" s="27" t="s">
        <v>1651</v>
      </c>
      <c r="E109" s="27" t="s">
        <v>1651</v>
      </c>
      <c r="F109" s="39">
        <v>15180842363</v>
      </c>
      <c r="G109" s="39">
        <v>7016437</v>
      </c>
      <c r="H109" s="40">
        <v>2023</v>
      </c>
      <c r="I109" s="39">
        <v>1957585.923</v>
      </c>
      <c r="J109" s="27" t="s">
        <v>94</v>
      </c>
      <c r="K109" s="41">
        <v>0.76438356164383547</v>
      </c>
      <c r="L109" s="39">
        <v>1981456.0944299998</v>
      </c>
      <c r="M109" s="39">
        <v>6895139</v>
      </c>
      <c r="N109" s="41">
        <v>0.78731506849315058</v>
      </c>
      <c r="O109" s="39">
        <v>2657946.7748562275</v>
      </c>
      <c r="P109" s="39">
        <v>7754310</v>
      </c>
      <c r="Q109" s="41">
        <v>0.93909657448699002</v>
      </c>
      <c r="R109" s="39">
        <v>3626101.511175347</v>
      </c>
      <c r="S109" s="39">
        <v>8709553</v>
      </c>
      <c r="T109" s="41">
        <v>1.1406469066956291</v>
      </c>
      <c r="U109" s="39">
        <v>4723673.0335512133</v>
      </c>
      <c r="V109" s="39">
        <v>9602753</v>
      </c>
      <c r="W109" s="41">
        <v>1.3476937243866245</v>
      </c>
      <c r="X109" s="42">
        <v>0.32</v>
      </c>
      <c r="Y109" s="42">
        <v>0.1</v>
      </c>
      <c r="Z109" s="42">
        <v>5.0000000000000001E-3</v>
      </c>
      <c r="AA109" s="42">
        <v>0.01</v>
      </c>
      <c r="AB109" s="42">
        <v>0.21</v>
      </c>
      <c r="AC109" s="42"/>
      <c r="AD109" s="42"/>
      <c r="AE109" s="42"/>
      <c r="AF109" s="42">
        <v>5.0000000000000001E-3</v>
      </c>
      <c r="AG109" s="42"/>
      <c r="AH109" s="42"/>
      <c r="AI109" s="42"/>
      <c r="AJ109" s="42">
        <v>0.35</v>
      </c>
      <c r="AK109" s="39"/>
      <c r="AL109" s="39">
        <v>17900</v>
      </c>
      <c r="AM109" s="39">
        <v>3600</v>
      </c>
      <c r="AN109" s="39">
        <v>14000</v>
      </c>
      <c r="AO109" s="39">
        <v>12648247</v>
      </c>
      <c r="AP109" s="39">
        <v>18608400</v>
      </c>
      <c r="AQ109" s="39">
        <v>2753587100</v>
      </c>
      <c r="AR109" s="39"/>
      <c r="AS109" s="42"/>
      <c r="AT109" s="42"/>
      <c r="AU109" s="42"/>
      <c r="AV109" s="42"/>
      <c r="AW109" s="42"/>
      <c r="AX109" s="42"/>
      <c r="AY109" s="42"/>
      <c r="AZ109" s="42">
        <v>0.47</v>
      </c>
      <c r="BA109" s="42"/>
      <c r="BB109" s="42"/>
      <c r="BC109" s="42"/>
      <c r="BD109" s="42"/>
      <c r="BE109" s="42"/>
      <c r="BF109" s="42"/>
      <c r="BG109" s="42">
        <v>0.47</v>
      </c>
      <c r="BH109" s="42"/>
      <c r="BI109" s="42"/>
      <c r="BJ109" s="42"/>
      <c r="BK109" s="42"/>
      <c r="BL109" s="42"/>
      <c r="BM109" s="42"/>
      <c r="BN109" s="42"/>
      <c r="BO109" s="42">
        <v>0.53</v>
      </c>
      <c r="BP109" s="42"/>
      <c r="BQ109" s="42">
        <v>0.2</v>
      </c>
      <c r="BR109" s="42">
        <v>0.24</v>
      </c>
      <c r="BS109" s="42">
        <v>0.09</v>
      </c>
      <c r="BT109" s="42"/>
      <c r="BU109" s="42"/>
      <c r="BV109" s="42"/>
      <c r="BW109" s="39"/>
      <c r="BX109" s="39"/>
      <c r="BY109" s="39"/>
      <c r="BZ109" s="39"/>
      <c r="CA109" s="39"/>
      <c r="CB109" s="27" t="s">
        <v>95</v>
      </c>
      <c r="CC109" s="27" t="s">
        <v>95</v>
      </c>
      <c r="CD109" s="27" t="s">
        <v>96</v>
      </c>
      <c r="CE109" s="27" t="s">
        <v>593</v>
      </c>
      <c r="CF109" s="27" t="s">
        <v>96</v>
      </c>
      <c r="CG109" s="27" t="s">
        <v>95</v>
      </c>
      <c r="CH109" s="27" t="s">
        <v>96</v>
      </c>
      <c r="CI109" s="27"/>
      <c r="CJ109" s="27" t="s">
        <v>1582</v>
      </c>
      <c r="CK109" s="27"/>
      <c r="CL109" s="27"/>
      <c r="CM109" s="27"/>
      <c r="CN109" s="27" t="s">
        <v>95</v>
      </c>
      <c r="CO109" s="27"/>
      <c r="CP109" s="27"/>
      <c r="CQ109" s="27"/>
      <c r="CR109" s="43" t="s">
        <v>96</v>
      </c>
      <c r="CS109" s="43"/>
      <c r="CT109" s="43"/>
      <c r="CU109" s="43"/>
      <c r="CV109" s="43" t="s">
        <v>96</v>
      </c>
      <c r="CW109" s="43" t="s">
        <v>96</v>
      </c>
      <c r="CX109" s="43" t="s">
        <v>96</v>
      </c>
      <c r="CY109" s="43" t="s">
        <v>1723</v>
      </c>
      <c r="CZ109" s="43" t="s">
        <v>109</v>
      </c>
      <c r="DA109" s="43" t="s">
        <v>197</v>
      </c>
      <c r="DB109" s="43"/>
      <c r="DC109" s="43"/>
      <c r="DD109" s="43"/>
      <c r="DE109" s="43"/>
      <c r="DF109" s="43"/>
    </row>
    <row r="110" spans="1:110" ht="14">
      <c r="A110" s="27" t="s">
        <v>594</v>
      </c>
      <c r="B110" s="47" t="s">
        <v>1712</v>
      </c>
      <c r="C110" s="27" t="s">
        <v>595</v>
      </c>
      <c r="D110" s="27" t="s">
        <v>1651</v>
      </c>
      <c r="E110" s="27" t="s">
        <v>1651</v>
      </c>
      <c r="F110" s="39">
        <v>14426380125.65</v>
      </c>
      <c r="G110" s="39">
        <v>6748779</v>
      </c>
      <c r="H110" s="40">
        <v>2015</v>
      </c>
      <c r="I110" s="39">
        <v>351893</v>
      </c>
      <c r="J110" s="27" t="s">
        <v>94</v>
      </c>
      <c r="K110" s="41">
        <v>0.14285404974127974</v>
      </c>
      <c r="L110" s="39">
        <v>455560.94062532345</v>
      </c>
      <c r="M110" s="39">
        <v>7505704</v>
      </c>
      <c r="N110" s="41">
        <v>0.16628848754184505</v>
      </c>
      <c r="O110" s="39">
        <v>592600.51552970975</v>
      </c>
      <c r="P110" s="39">
        <v>8311151</v>
      </c>
      <c r="Q110" s="41">
        <v>0.1953475585085363</v>
      </c>
      <c r="R110" s="39">
        <v>811924.71990924294</v>
      </c>
      <c r="S110" s="39">
        <v>9134041</v>
      </c>
      <c r="T110" s="41">
        <v>0.24353419121094194</v>
      </c>
      <c r="U110" s="39">
        <v>1040193.3016804951</v>
      </c>
      <c r="V110" s="39">
        <v>9733998</v>
      </c>
      <c r="W110" s="41">
        <v>0.29277226707241394</v>
      </c>
      <c r="X110" s="42"/>
      <c r="Y110" s="42"/>
      <c r="Z110" s="42"/>
      <c r="AA110" s="42"/>
      <c r="AB110" s="42"/>
      <c r="AC110" s="42"/>
      <c r="AD110" s="42"/>
      <c r="AE110" s="42"/>
      <c r="AF110" s="42"/>
      <c r="AG110" s="42"/>
      <c r="AH110" s="42"/>
      <c r="AI110" s="42"/>
      <c r="AJ110" s="42"/>
      <c r="AK110" s="39"/>
      <c r="AL110" s="39"/>
      <c r="AM110" s="39"/>
      <c r="AN110" s="39">
        <v>27000</v>
      </c>
      <c r="AO110" s="39"/>
      <c r="AP110" s="39"/>
      <c r="AQ110" s="39"/>
      <c r="AR110" s="39"/>
      <c r="AS110" s="42"/>
      <c r="AT110" s="42"/>
      <c r="AU110" s="42"/>
      <c r="AV110" s="42"/>
      <c r="AW110" s="42">
        <v>0.35</v>
      </c>
      <c r="AX110" s="42"/>
      <c r="AY110" s="42"/>
      <c r="AZ110" s="42">
        <v>0.55000000000000004</v>
      </c>
      <c r="BA110" s="42"/>
      <c r="BB110" s="42"/>
      <c r="BC110" s="42">
        <v>0.6</v>
      </c>
      <c r="BD110" s="42">
        <v>0.55000000000000004</v>
      </c>
      <c r="BE110" s="42"/>
      <c r="BF110" s="42"/>
      <c r="BG110" s="42"/>
      <c r="BH110" s="42"/>
      <c r="BI110" s="42"/>
      <c r="BJ110" s="42"/>
      <c r="BK110" s="42"/>
      <c r="BL110" s="42"/>
      <c r="BM110" s="42"/>
      <c r="BN110" s="42"/>
      <c r="BO110" s="42">
        <v>0.45</v>
      </c>
      <c r="BP110" s="42"/>
      <c r="BQ110" s="42"/>
      <c r="BR110" s="42"/>
      <c r="BS110" s="42"/>
      <c r="BT110" s="42"/>
      <c r="BU110" s="42"/>
      <c r="BV110" s="42"/>
      <c r="BW110" s="27"/>
      <c r="BX110" s="39"/>
      <c r="BY110" s="39"/>
      <c r="BZ110" s="39"/>
      <c r="CA110" s="39"/>
      <c r="CB110" s="27" t="s">
        <v>96</v>
      </c>
      <c r="CC110" s="27" t="s">
        <v>95</v>
      </c>
      <c r="CD110" s="27" t="s">
        <v>96</v>
      </c>
      <c r="CE110" s="27" t="s">
        <v>596</v>
      </c>
      <c r="CF110" s="27" t="s">
        <v>96</v>
      </c>
      <c r="CG110" s="27" t="s">
        <v>96</v>
      </c>
      <c r="CH110" s="27" t="s">
        <v>96</v>
      </c>
      <c r="CI110" s="27" t="s">
        <v>597</v>
      </c>
      <c r="CJ110" s="27" t="s">
        <v>1550</v>
      </c>
      <c r="CK110" s="27"/>
      <c r="CL110" s="27"/>
      <c r="CM110" s="43"/>
      <c r="CN110" s="27" t="s">
        <v>95</v>
      </c>
      <c r="CO110" s="43"/>
      <c r="CP110" s="27" t="s">
        <v>96</v>
      </c>
      <c r="CQ110" s="43" t="s">
        <v>598</v>
      </c>
      <c r="CR110" s="43" t="s">
        <v>96</v>
      </c>
      <c r="CS110" s="43" t="s">
        <v>96</v>
      </c>
      <c r="CT110" s="43" t="s">
        <v>96</v>
      </c>
      <c r="CU110" s="43"/>
      <c r="CV110" s="43"/>
      <c r="CW110" s="43"/>
      <c r="CX110" s="43"/>
      <c r="CY110" s="43" t="s">
        <v>1723</v>
      </c>
      <c r="CZ110" s="43" t="s">
        <v>148</v>
      </c>
      <c r="DA110" s="43" t="s">
        <v>1471</v>
      </c>
      <c r="DB110" s="43"/>
      <c r="DC110" s="43"/>
      <c r="DD110" s="43"/>
      <c r="DE110" s="43"/>
      <c r="DF110" s="43"/>
    </row>
    <row r="111" spans="1:110" ht="14">
      <c r="A111" s="27" t="s">
        <v>599</v>
      </c>
      <c r="B111" s="27" t="s">
        <v>1713</v>
      </c>
      <c r="C111" s="27" t="s">
        <v>600</v>
      </c>
      <c r="D111" s="27" t="s">
        <v>122</v>
      </c>
      <c r="E111" s="27" t="s">
        <v>122</v>
      </c>
      <c r="F111" s="39">
        <v>38183326785</v>
      </c>
      <c r="G111" s="39">
        <v>1894147</v>
      </c>
      <c r="H111" s="40">
        <v>2021</v>
      </c>
      <c r="I111" s="39">
        <v>869000</v>
      </c>
      <c r="J111" s="27" t="s">
        <v>94</v>
      </c>
      <c r="K111" s="41">
        <v>1.2569361922850861</v>
      </c>
      <c r="L111" s="39">
        <v>871625.29512236465</v>
      </c>
      <c r="M111" s="39">
        <v>1877027</v>
      </c>
      <c r="N111" s="41">
        <v>1.2722323691585473</v>
      </c>
      <c r="O111" s="39">
        <v>892769.67735308094</v>
      </c>
      <c r="P111" s="39">
        <v>1785151</v>
      </c>
      <c r="Q111" s="41">
        <v>1.3701610236418602</v>
      </c>
      <c r="R111" s="39">
        <v>877650.42901830503</v>
      </c>
      <c r="S111" s="39">
        <v>1647022</v>
      </c>
      <c r="T111" s="41">
        <v>1.4599208288279222</v>
      </c>
      <c r="U111" s="39">
        <v>839934.4181985649</v>
      </c>
      <c r="V111" s="39">
        <v>1520223</v>
      </c>
      <c r="W111" s="41">
        <v>1.5137188339114611</v>
      </c>
      <c r="X111" s="42">
        <v>0.33082442483999303</v>
      </c>
      <c r="Y111" s="42">
        <v>0.112720982528974</v>
      </c>
      <c r="Z111" s="42">
        <v>3.0501297353399098E-2</v>
      </c>
      <c r="AA111" s="42">
        <v>0.162944819235426</v>
      </c>
      <c r="AB111" s="42">
        <v>0.11451167618059201</v>
      </c>
      <c r="AC111" s="42"/>
      <c r="AD111" s="42"/>
      <c r="AE111" s="42"/>
      <c r="AF111" s="42"/>
      <c r="AG111" s="42"/>
      <c r="AH111" s="42"/>
      <c r="AI111" s="42"/>
      <c r="AJ111" s="42">
        <v>0.24849679986161599</v>
      </c>
      <c r="AK111" s="39"/>
      <c r="AL111" s="39">
        <v>133282</v>
      </c>
      <c r="AM111" s="39">
        <v>276703</v>
      </c>
      <c r="AN111" s="39">
        <v>22000</v>
      </c>
      <c r="AO111" s="39">
        <v>124637</v>
      </c>
      <c r="AP111" s="39">
        <v>485488</v>
      </c>
      <c r="AQ111" s="39">
        <v>1165</v>
      </c>
      <c r="AR111" s="39">
        <v>1438</v>
      </c>
      <c r="AS111" s="42">
        <v>0.47199999999999998</v>
      </c>
      <c r="AT111" s="42">
        <v>0.52800000000000002</v>
      </c>
      <c r="AU111" s="42"/>
      <c r="AV111" s="42"/>
      <c r="AW111" s="42"/>
      <c r="AX111" s="42"/>
      <c r="AY111" s="42"/>
      <c r="AZ111" s="42"/>
      <c r="BA111" s="42"/>
      <c r="BB111" s="42"/>
      <c r="BC111" s="42"/>
      <c r="BD111" s="42"/>
      <c r="BE111" s="42"/>
      <c r="BF111" s="42">
        <v>0.52413793103448303</v>
      </c>
      <c r="BG111" s="42"/>
      <c r="BH111" s="42"/>
      <c r="BI111" s="42">
        <v>7.9310344827586199E-2</v>
      </c>
      <c r="BJ111" s="42">
        <v>0.36091954022988498</v>
      </c>
      <c r="BK111" s="42">
        <v>3.4482758620689703E-2</v>
      </c>
      <c r="BL111" s="42"/>
      <c r="BM111" s="42"/>
      <c r="BN111" s="42"/>
      <c r="BO111" s="42"/>
      <c r="BP111" s="42">
        <v>1.1494252873563201E-3</v>
      </c>
      <c r="BQ111" s="42"/>
      <c r="BR111" s="42"/>
      <c r="BS111" s="42"/>
      <c r="BT111" s="42"/>
      <c r="BU111" s="42"/>
      <c r="BV111" s="42"/>
      <c r="BW111" s="39">
        <v>4550</v>
      </c>
      <c r="BX111" s="39"/>
      <c r="BY111" s="39"/>
      <c r="BZ111" s="39"/>
      <c r="CA111" s="39"/>
      <c r="CB111" s="27" t="s">
        <v>96</v>
      </c>
      <c r="CC111" s="27" t="s">
        <v>96</v>
      </c>
      <c r="CD111" s="27" t="s">
        <v>96</v>
      </c>
      <c r="CE111" s="27" t="s">
        <v>601</v>
      </c>
      <c r="CF111" s="27" t="s">
        <v>96</v>
      </c>
      <c r="CG111" s="27" t="s">
        <v>96</v>
      </c>
      <c r="CH111" s="27" t="s">
        <v>96</v>
      </c>
      <c r="CI111" s="27" t="s">
        <v>602</v>
      </c>
      <c r="CJ111" s="27" t="s">
        <v>1589</v>
      </c>
      <c r="CK111" s="27"/>
      <c r="CL111" s="27"/>
      <c r="CM111" s="27"/>
      <c r="CN111" s="27" t="s">
        <v>96</v>
      </c>
      <c r="CO111" s="27"/>
      <c r="CP111" s="27" t="s">
        <v>96</v>
      </c>
      <c r="CQ111" s="27"/>
      <c r="CR111" s="43" t="s">
        <v>96</v>
      </c>
      <c r="CS111" s="43" t="s">
        <v>96</v>
      </c>
      <c r="CT111" s="43"/>
      <c r="CU111" s="43" t="s">
        <v>96</v>
      </c>
      <c r="CV111" s="43" t="s">
        <v>96</v>
      </c>
      <c r="CW111" s="43" t="s">
        <v>96</v>
      </c>
      <c r="CX111" s="43" t="s">
        <v>96</v>
      </c>
      <c r="CY111" s="43" t="s">
        <v>1723</v>
      </c>
      <c r="CZ111" s="43" t="s">
        <v>109</v>
      </c>
      <c r="DA111" s="43" t="s">
        <v>1470</v>
      </c>
      <c r="DB111" s="43" t="s">
        <v>96</v>
      </c>
      <c r="DC111" s="43" t="s">
        <v>168</v>
      </c>
      <c r="DD111" s="43" t="s">
        <v>1472</v>
      </c>
      <c r="DE111" s="43" t="s">
        <v>109</v>
      </c>
      <c r="DF111" s="43" t="s">
        <v>1470</v>
      </c>
    </row>
    <row r="112" spans="1:110" ht="14">
      <c r="A112" s="27" t="s">
        <v>603</v>
      </c>
      <c r="B112" t="s">
        <v>1715</v>
      </c>
      <c r="C112" s="27" t="s">
        <v>604</v>
      </c>
      <c r="D112" s="27" t="s">
        <v>1651</v>
      </c>
      <c r="E112" s="27" t="s">
        <v>1651</v>
      </c>
      <c r="F112" s="39">
        <v>23131941556.779999</v>
      </c>
      <c r="G112" s="39">
        <v>5708460</v>
      </c>
      <c r="H112" s="40">
        <v>2021</v>
      </c>
      <c r="I112" s="39">
        <v>2044000</v>
      </c>
      <c r="J112" s="27" t="s">
        <v>94</v>
      </c>
      <c r="K112" s="41">
        <v>0.98100012963215999</v>
      </c>
      <c r="L112" s="39">
        <v>2067615.2774636222</v>
      </c>
      <c r="M112" s="39">
        <v>5727783</v>
      </c>
      <c r="N112" s="41">
        <v>0.98898638274377593</v>
      </c>
      <c r="O112" s="39">
        <v>2208716.6379289767</v>
      </c>
      <c r="P112" s="39">
        <v>6076967</v>
      </c>
      <c r="Q112" s="41">
        <v>0.99577280246533972</v>
      </c>
      <c r="R112" s="39">
        <v>2679216.9708198141</v>
      </c>
      <c r="S112" s="39">
        <v>6595573</v>
      </c>
      <c r="T112" s="41">
        <v>1.1129162648945727</v>
      </c>
      <c r="U112" s="39">
        <v>3262483.6049429891</v>
      </c>
      <c r="V112" s="39">
        <v>6986186</v>
      </c>
      <c r="W112" s="41">
        <v>1.2794264633691614</v>
      </c>
      <c r="X112" s="42">
        <v>0.70499999999999996</v>
      </c>
      <c r="Y112" s="42">
        <v>3.5000000000000003E-2</v>
      </c>
      <c r="Z112" s="42">
        <v>0.02</v>
      </c>
      <c r="AA112" s="42">
        <v>4.4999999999999998E-2</v>
      </c>
      <c r="AB112" s="42">
        <v>0.125</v>
      </c>
      <c r="AC112" s="42"/>
      <c r="AD112" s="42"/>
      <c r="AE112" s="42"/>
      <c r="AF112" s="42"/>
      <c r="AG112" s="42"/>
      <c r="AH112" s="42"/>
      <c r="AI112" s="42"/>
      <c r="AJ112" s="42">
        <v>7.0000000000000007E-2</v>
      </c>
      <c r="AK112" s="39"/>
      <c r="AL112" s="39"/>
      <c r="AM112" s="39"/>
      <c r="AN112" s="39">
        <v>60000</v>
      </c>
      <c r="AO112" s="39"/>
      <c r="AP112" s="39">
        <v>188850</v>
      </c>
      <c r="AQ112" s="39"/>
      <c r="AR112" s="39">
        <v>25040</v>
      </c>
      <c r="AS112" s="42"/>
      <c r="AT112" s="42"/>
      <c r="AU112" s="42"/>
      <c r="AV112" s="42">
        <v>0.99</v>
      </c>
      <c r="AW112" s="42"/>
      <c r="AX112" s="42"/>
      <c r="AY112" s="42"/>
      <c r="AZ112" s="42">
        <v>0.999</v>
      </c>
      <c r="BA112" s="42"/>
      <c r="BB112" s="42">
        <v>1</v>
      </c>
      <c r="BC112" s="42"/>
      <c r="BD112" s="42">
        <v>0.42</v>
      </c>
      <c r="BE112" s="42"/>
      <c r="BF112" s="42"/>
      <c r="BG112" s="42">
        <v>0.56999999999999995</v>
      </c>
      <c r="BH112" s="42"/>
      <c r="BI112" s="42"/>
      <c r="BJ112" s="42"/>
      <c r="BK112" s="42"/>
      <c r="BL112" s="42"/>
      <c r="BM112" s="42"/>
      <c r="BN112" s="42"/>
      <c r="BO112" s="42"/>
      <c r="BP112" s="42">
        <v>0.01</v>
      </c>
      <c r="BQ112" s="42"/>
      <c r="BR112" s="42"/>
      <c r="BS112" s="42"/>
      <c r="BT112" s="42"/>
      <c r="BU112" s="42"/>
      <c r="BV112" s="42"/>
      <c r="BW112" s="39"/>
      <c r="BX112" s="39"/>
      <c r="BY112" s="39"/>
      <c r="BZ112" s="39"/>
      <c r="CA112" s="39"/>
      <c r="CB112" s="27" t="s">
        <v>95</v>
      </c>
      <c r="CC112" s="27" t="s">
        <v>95</v>
      </c>
      <c r="CD112" s="27" t="s">
        <v>96</v>
      </c>
      <c r="CE112" s="27" t="s">
        <v>273</v>
      </c>
      <c r="CF112" s="27" t="s">
        <v>96</v>
      </c>
      <c r="CG112" s="27" t="s">
        <v>96</v>
      </c>
      <c r="CH112" s="27" t="s">
        <v>95</v>
      </c>
      <c r="CI112" s="27"/>
      <c r="CJ112" s="27" t="s">
        <v>123</v>
      </c>
      <c r="CK112" s="27"/>
      <c r="CL112" s="27" t="s">
        <v>95</v>
      </c>
      <c r="CM112" s="27"/>
      <c r="CN112" s="27" t="s">
        <v>95</v>
      </c>
      <c r="CO112" s="27"/>
      <c r="CP112" s="27" t="s">
        <v>95</v>
      </c>
      <c r="CQ112" s="27"/>
      <c r="CR112" s="43" t="s">
        <v>96</v>
      </c>
      <c r="CS112" s="43"/>
      <c r="CT112" s="43"/>
      <c r="CU112" s="43"/>
      <c r="CV112" s="43" t="s">
        <v>96</v>
      </c>
      <c r="CW112" s="43"/>
      <c r="CX112" s="43"/>
      <c r="CY112" s="43" t="s">
        <v>1723</v>
      </c>
      <c r="CZ112" s="43" t="s">
        <v>148</v>
      </c>
      <c r="DA112" s="43" t="s">
        <v>1471</v>
      </c>
      <c r="DB112" s="43"/>
      <c r="DC112" s="43"/>
      <c r="DD112" s="43"/>
      <c r="DE112" s="43"/>
      <c r="DF112" s="43"/>
    </row>
    <row r="113" spans="1:110" ht="14">
      <c r="A113" s="27" t="s">
        <v>605</v>
      </c>
      <c r="B113" s="33" t="s">
        <v>1693</v>
      </c>
      <c r="C113" s="27" t="s">
        <v>606</v>
      </c>
      <c r="D113" s="27"/>
      <c r="E113" s="27" t="s">
        <v>1651</v>
      </c>
      <c r="F113" s="44"/>
      <c r="G113" s="39">
        <v>2273725</v>
      </c>
      <c r="H113" s="40" t="s">
        <v>123</v>
      </c>
      <c r="I113" s="39" t="s">
        <v>1620</v>
      </c>
      <c r="J113" s="27"/>
      <c r="K113" s="39" t="s">
        <v>1620</v>
      </c>
      <c r="L113" s="39">
        <v>178344.18942672267</v>
      </c>
      <c r="M113" s="39">
        <v>2273725</v>
      </c>
      <c r="N113" s="41">
        <v>0.21489591643996497</v>
      </c>
      <c r="O113" s="39">
        <v>211696.36718788909</v>
      </c>
      <c r="P113" s="39">
        <v>2480799</v>
      </c>
      <c r="Q113" s="41">
        <v>0.23379163208712475</v>
      </c>
      <c r="R113" s="39">
        <v>301422.7456303275</v>
      </c>
      <c r="S113" s="39">
        <v>2745069</v>
      </c>
      <c r="T113" s="41">
        <v>0.30083605965932081</v>
      </c>
      <c r="U113" s="39">
        <v>420312.20096012106</v>
      </c>
      <c r="V113" s="39">
        <v>2982808</v>
      </c>
      <c r="W113" s="41">
        <v>0.38605913508448125</v>
      </c>
      <c r="X113" s="42"/>
      <c r="Y113" s="42"/>
      <c r="Z113" s="42"/>
      <c r="AA113" s="42"/>
      <c r="AB113" s="42"/>
      <c r="AC113" s="42"/>
      <c r="AD113" s="42"/>
      <c r="AE113" s="42"/>
      <c r="AF113" s="42"/>
      <c r="AG113" s="42"/>
      <c r="AH113" s="42"/>
      <c r="AI113" s="42"/>
      <c r="AJ113" s="42"/>
      <c r="AK113" s="39"/>
      <c r="AL113" s="39"/>
      <c r="AM113" s="39"/>
      <c r="AN113" s="39">
        <v>3000</v>
      </c>
      <c r="AO113" s="39">
        <v>282</v>
      </c>
      <c r="AP113" s="39"/>
      <c r="AQ113" s="39"/>
      <c r="AR113" s="39"/>
      <c r="AS113" s="42"/>
      <c r="AT113" s="42"/>
      <c r="AU113" s="42"/>
      <c r="AV113" s="42"/>
      <c r="AW113" s="42"/>
      <c r="AX113" s="42">
        <v>5.8000000000000003E-2</v>
      </c>
      <c r="AY113" s="42"/>
      <c r="AZ113" s="42"/>
      <c r="BA113" s="42"/>
      <c r="BB113" s="42"/>
      <c r="BC113" s="42"/>
      <c r="BD113" s="42"/>
      <c r="BE113" s="42"/>
      <c r="BF113" s="42"/>
      <c r="BG113" s="42"/>
      <c r="BH113" s="42"/>
      <c r="BI113" s="42"/>
      <c r="BJ113" s="42"/>
      <c r="BK113" s="42"/>
      <c r="BL113" s="42"/>
      <c r="BM113" s="42"/>
      <c r="BN113" s="42"/>
      <c r="BO113" s="42"/>
      <c r="BP113" s="42"/>
      <c r="BQ113" s="42">
        <v>0.38319753614381002</v>
      </c>
      <c r="BR113" s="42">
        <v>0.55599383285691795</v>
      </c>
      <c r="BS113" s="42">
        <v>5.9401892157524699E-2</v>
      </c>
      <c r="BT113" s="42"/>
      <c r="BU113" s="42">
        <v>1.4067388417475101E-3</v>
      </c>
      <c r="BV113" s="42"/>
      <c r="BW113" s="39"/>
      <c r="BX113" s="39"/>
      <c r="BY113" s="39"/>
      <c r="BZ113" s="39"/>
      <c r="CA113" s="39"/>
      <c r="CB113" s="27" t="s">
        <v>95</v>
      </c>
      <c r="CC113" s="27" t="s">
        <v>96</v>
      </c>
      <c r="CD113" s="27" t="s">
        <v>96</v>
      </c>
      <c r="CE113" s="27" t="s">
        <v>607</v>
      </c>
      <c r="CF113" s="27" t="s">
        <v>96</v>
      </c>
      <c r="CG113" s="27" t="s">
        <v>96</v>
      </c>
      <c r="CH113" s="27" t="s">
        <v>95</v>
      </c>
      <c r="CI113" s="27" t="s">
        <v>608</v>
      </c>
      <c r="CJ113" s="27" t="s">
        <v>1638</v>
      </c>
      <c r="CK113" s="27"/>
      <c r="CL113" s="27" t="s">
        <v>96</v>
      </c>
      <c r="CM113" s="27" t="s">
        <v>609</v>
      </c>
      <c r="CN113" s="27"/>
      <c r="CO113" s="27"/>
      <c r="CP113" s="27"/>
      <c r="CQ113" s="27"/>
      <c r="CR113" s="43" t="s">
        <v>96</v>
      </c>
      <c r="CS113" s="43"/>
      <c r="CT113" s="43"/>
      <c r="CU113" s="43"/>
      <c r="CV113" s="43" t="s">
        <v>96</v>
      </c>
      <c r="CW113" s="43"/>
      <c r="CX113" s="43"/>
      <c r="CY113" s="43" t="s">
        <v>106</v>
      </c>
      <c r="CZ113" s="43" t="s">
        <v>198</v>
      </c>
      <c r="DA113" s="43" t="s">
        <v>107</v>
      </c>
      <c r="DB113" s="43"/>
      <c r="DC113" s="43"/>
      <c r="DD113" s="43"/>
      <c r="DE113" s="43"/>
      <c r="DF113" s="43"/>
    </row>
    <row r="114" spans="1:110" ht="14">
      <c r="A114" s="27" t="s">
        <v>610</v>
      </c>
      <c r="B114" s="33" t="s">
        <v>1693</v>
      </c>
      <c r="C114" s="27" t="s">
        <v>611</v>
      </c>
      <c r="D114" s="27"/>
      <c r="E114" s="27" t="s">
        <v>93</v>
      </c>
      <c r="F114" s="44"/>
      <c r="G114" s="39">
        <v>5313918</v>
      </c>
      <c r="H114" s="40" t="s">
        <v>123</v>
      </c>
      <c r="I114" s="39" t="s">
        <v>1620</v>
      </c>
      <c r="J114" s="27"/>
      <c r="K114" s="39" t="s">
        <v>1620</v>
      </c>
      <c r="L114" s="39">
        <v>274346.71942124178</v>
      </c>
      <c r="M114" s="39">
        <v>5313918</v>
      </c>
      <c r="N114" s="41">
        <v>0.14144645207724876</v>
      </c>
      <c r="O114" s="39">
        <v>335467.07903732709</v>
      </c>
      <c r="P114" s="39">
        <v>6308524</v>
      </c>
      <c r="Q114" s="41">
        <v>0.14568984563956622</v>
      </c>
      <c r="R114" s="39">
        <v>417196.71121504961</v>
      </c>
      <c r="S114" s="39">
        <v>7616957</v>
      </c>
      <c r="T114" s="41">
        <v>0.15006054100875321</v>
      </c>
      <c r="U114" s="39">
        <v>499655.34974163491</v>
      </c>
      <c r="V114" s="39">
        <v>8856741</v>
      </c>
      <c r="W114" s="41">
        <v>0.15456235723901582</v>
      </c>
      <c r="X114" s="42"/>
      <c r="Y114" s="42"/>
      <c r="Z114" s="42"/>
      <c r="AA114" s="42"/>
      <c r="AB114" s="42"/>
      <c r="AC114" s="42"/>
      <c r="AD114" s="42"/>
      <c r="AE114" s="42"/>
      <c r="AF114" s="42"/>
      <c r="AG114" s="42"/>
      <c r="AH114" s="42"/>
      <c r="AI114" s="42"/>
      <c r="AJ114" s="42"/>
      <c r="AK114" s="39"/>
      <c r="AL114" s="39"/>
      <c r="AM114" s="39"/>
      <c r="AN114" s="39">
        <v>3000</v>
      </c>
      <c r="AO114" s="39"/>
      <c r="AP114" s="39"/>
      <c r="AQ114" s="39"/>
      <c r="AR114" s="39"/>
      <c r="AS114" s="42"/>
      <c r="AT114" s="42"/>
      <c r="AU114" s="42"/>
      <c r="AV114" s="42"/>
      <c r="AW114" s="42"/>
      <c r="AX114" s="42"/>
      <c r="AY114" s="42"/>
      <c r="AZ114" s="42"/>
      <c r="BA114" s="42"/>
      <c r="BB114" s="42"/>
      <c r="BC114" s="42"/>
      <c r="BD114" s="42">
        <v>0.64</v>
      </c>
      <c r="BE114" s="42"/>
      <c r="BF114" s="42"/>
      <c r="BG114" s="42"/>
      <c r="BH114" s="42"/>
      <c r="BI114" s="42"/>
      <c r="BJ114" s="42"/>
      <c r="BK114" s="42"/>
      <c r="BL114" s="42"/>
      <c r="BM114" s="42"/>
      <c r="BN114" s="42"/>
      <c r="BO114" s="42">
        <v>0.20399999999999999</v>
      </c>
      <c r="BP114" s="42">
        <v>0.156</v>
      </c>
      <c r="BQ114" s="42"/>
      <c r="BR114" s="42"/>
      <c r="BS114" s="42"/>
      <c r="BT114" s="42"/>
      <c r="BU114" s="42"/>
      <c r="BV114" s="42"/>
      <c r="BW114" s="39"/>
      <c r="BX114" s="39"/>
      <c r="BY114" s="39"/>
      <c r="BZ114" s="39"/>
      <c r="CA114" s="39"/>
      <c r="CB114" s="27" t="s">
        <v>95</v>
      </c>
      <c r="CC114" s="27" t="s">
        <v>96</v>
      </c>
      <c r="CD114" s="27" t="s">
        <v>95</v>
      </c>
      <c r="CE114" s="27" t="s">
        <v>612</v>
      </c>
      <c r="CF114" s="27" t="s">
        <v>96</v>
      </c>
      <c r="CG114" s="27" t="s">
        <v>96</v>
      </c>
      <c r="CH114" s="27" t="s">
        <v>95</v>
      </c>
      <c r="CI114" s="27"/>
      <c r="CJ114" s="27" t="s">
        <v>613</v>
      </c>
      <c r="CK114" s="27"/>
      <c r="CL114" s="27"/>
      <c r="CM114" s="27"/>
      <c r="CN114" s="27" t="s">
        <v>95</v>
      </c>
      <c r="CO114" s="27"/>
      <c r="CP114" s="27"/>
      <c r="CQ114" s="27"/>
      <c r="CR114" s="43" t="s">
        <v>96</v>
      </c>
      <c r="CS114" s="43"/>
      <c r="CT114" s="43"/>
      <c r="CU114" s="43"/>
      <c r="CV114" s="43"/>
      <c r="CW114" s="43"/>
      <c r="CX114" s="43" t="s">
        <v>96</v>
      </c>
      <c r="CY114" s="43" t="s">
        <v>106</v>
      </c>
      <c r="CZ114" s="43" t="s">
        <v>198</v>
      </c>
      <c r="DA114" s="43" t="s">
        <v>1471</v>
      </c>
      <c r="DB114" s="43"/>
      <c r="DC114" s="43"/>
      <c r="DD114" s="43"/>
      <c r="DE114" s="43"/>
      <c r="DF114" s="43"/>
    </row>
    <row r="115" spans="1:110" ht="14">
      <c r="A115" s="27" t="s">
        <v>614</v>
      </c>
      <c r="B115" t="s">
        <v>1715</v>
      </c>
      <c r="C115" s="27" t="s">
        <v>615</v>
      </c>
      <c r="D115" s="27" t="s">
        <v>1650</v>
      </c>
      <c r="E115" s="27" t="s">
        <v>1650</v>
      </c>
      <c r="F115" s="39">
        <v>57372355592.019997</v>
      </c>
      <c r="G115" s="39">
        <v>6372899</v>
      </c>
      <c r="H115" s="40">
        <v>2014</v>
      </c>
      <c r="I115" s="39">
        <v>3200000</v>
      </c>
      <c r="J115" s="27" t="s">
        <v>94</v>
      </c>
      <c r="K115" s="41">
        <v>1.3756884092578954</v>
      </c>
      <c r="L115" s="39">
        <v>4123953.9552002088</v>
      </c>
      <c r="M115" s="39">
        <v>7178831</v>
      </c>
      <c r="N115" s="41">
        <v>1.5738640437210303</v>
      </c>
      <c r="O115" s="39">
        <v>4938199.0212821336</v>
      </c>
      <c r="P115" s="39">
        <v>7843617</v>
      </c>
      <c r="Q115" s="41">
        <v>1.7248818226430915</v>
      </c>
      <c r="R115" s="39">
        <v>5713122.1648843875</v>
      </c>
      <c r="S115" s="39">
        <v>8616193</v>
      </c>
      <c r="T115" s="41">
        <v>1.8166247544401501</v>
      </c>
      <c r="U115" s="39">
        <v>6985900.7934543146</v>
      </c>
      <c r="V115" s="39">
        <v>9234542</v>
      </c>
      <c r="W115" s="41">
        <v>2.0725937711520461</v>
      </c>
      <c r="X115" s="42">
        <v>0.70099999999999996</v>
      </c>
      <c r="Y115" s="42">
        <v>3.1E-2</v>
      </c>
      <c r="Z115" s="42">
        <v>4.2999999999999997E-2</v>
      </c>
      <c r="AA115" s="42">
        <v>5.5E-2</v>
      </c>
      <c r="AB115" s="42">
        <v>7.4999999999999997E-2</v>
      </c>
      <c r="AC115" s="42"/>
      <c r="AD115" s="42">
        <v>2.5000000000000001E-2</v>
      </c>
      <c r="AE115" s="42"/>
      <c r="AF115" s="42">
        <v>1.2999999999999999E-2</v>
      </c>
      <c r="AG115" s="42"/>
      <c r="AH115" s="42"/>
      <c r="AI115" s="42"/>
      <c r="AJ115" s="42">
        <v>5.7000000000000002E-2</v>
      </c>
      <c r="AK115" s="39"/>
      <c r="AL115" s="39"/>
      <c r="AM115" s="39">
        <v>3641150</v>
      </c>
      <c r="AN115" s="39">
        <v>94000</v>
      </c>
      <c r="AO115" s="39"/>
      <c r="AP115" s="39"/>
      <c r="AQ115" s="39"/>
      <c r="AR115" s="39"/>
      <c r="AS115" s="42"/>
      <c r="AT115" s="42"/>
      <c r="AU115" s="42"/>
      <c r="AV115" s="42"/>
      <c r="AW115" s="42"/>
      <c r="AX115" s="42"/>
      <c r="AY115" s="42"/>
      <c r="AZ115" s="42"/>
      <c r="BA115" s="42"/>
      <c r="BB115" s="42"/>
      <c r="BC115" s="42"/>
      <c r="BD115" s="42">
        <v>0.67</v>
      </c>
      <c r="BE115" s="42"/>
      <c r="BF115" s="42"/>
      <c r="BG115" s="42"/>
      <c r="BH115" s="42"/>
      <c r="BI115" s="42"/>
      <c r="BJ115" s="42"/>
      <c r="BK115" s="42"/>
      <c r="BL115" s="42"/>
      <c r="BM115" s="42"/>
      <c r="BN115" s="42"/>
      <c r="BO115" s="42"/>
      <c r="BP115" s="42">
        <v>0.33</v>
      </c>
      <c r="BQ115" s="42"/>
      <c r="BR115" s="42"/>
      <c r="BS115" s="42"/>
      <c r="BT115" s="42"/>
      <c r="BU115" s="42"/>
      <c r="BV115" s="42"/>
      <c r="BW115" s="39"/>
      <c r="BX115" s="39"/>
      <c r="BY115" s="39"/>
      <c r="BZ115" s="39"/>
      <c r="CA115" s="39"/>
      <c r="CB115" s="27" t="s">
        <v>95</v>
      </c>
      <c r="CC115" s="27" t="s">
        <v>96</v>
      </c>
      <c r="CD115" s="27" t="s">
        <v>96</v>
      </c>
      <c r="CE115" s="27" t="s">
        <v>616</v>
      </c>
      <c r="CF115" s="27" t="s">
        <v>96</v>
      </c>
      <c r="CG115" s="27" t="s">
        <v>96</v>
      </c>
      <c r="CH115" s="27" t="s">
        <v>95</v>
      </c>
      <c r="CI115" s="27"/>
      <c r="CJ115" s="27" t="s">
        <v>123</v>
      </c>
      <c r="CK115" s="27"/>
      <c r="CL115" s="27" t="s">
        <v>95</v>
      </c>
      <c r="CM115" s="27"/>
      <c r="CN115" s="27" t="s">
        <v>95</v>
      </c>
      <c r="CO115" s="27"/>
      <c r="CP115" s="27" t="s">
        <v>95</v>
      </c>
      <c r="CQ115" s="27"/>
      <c r="CR115" s="43"/>
      <c r="CS115" s="43"/>
      <c r="CT115" s="43"/>
      <c r="CU115" s="43"/>
      <c r="CV115" s="43"/>
      <c r="CW115" s="43"/>
      <c r="CX115" s="43"/>
      <c r="CY115" s="43"/>
      <c r="CZ115" s="43"/>
      <c r="DA115" s="43"/>
      <c r="DB115" s="43"/>
      <c r="DC115" s="43"/>
      <c r="DD115" s="43"/>
      <c r="DE115" s="43"/>
      <c r="DF115" s="43"/>
    </row>
    <row r="116" spans="1:110" ht="14">
      <c r="A116" s="27" t="s">
        <v>617</v>
      </c>
      <c r="B116" s="27" t="s">
        <v>1713</v>
      </c>
      <c r="C116" s="27" t="s">
        <v>618</v>
      </c>
      <c r="D116" s="27" t="s">
        <v>122</v>
      </c>
      <c r="E116" s="27" t="s">
        <v>122</v>
      </c>
      <c r="F116" s="39">
        <v>7378156576</v>
      </c>
      <c r="G116" s="39">
        <v>39174</v>
      </c>
      <c r="H116" s="40">
        <v>2022</v>
      </c>
      <c r="I116" s="39">
        <v>32424</v>
      </c>
      <c r="J116" s="27" t="s">
        <v>94</v>
      </c>
      <c r="K116" s="41">
        <v>2.2676488669099086</v>
      </c>
      <c r="L116" s="39">
        <v>32423.999999999996</v>
      </c>
      <c r="M116" s="39">
        <v>39174</v>
      </c>
      <c r="N116" s="41">
        <v>2.2676488669099086</v>
      </c>
      <c r="O116" s="39">
        <v>34766.602444881879</v>
      </c>
      <c r="P116" s="39">
        <v>41106</v>
      </c>
      <c r="Q116" s="41">
        <v>2.3172034642732475</v>
      </c>
      <c r="R116" s="39">
        <v>36495.983393858267</v>
      </c>
      <c r="S116" s="39">
        <v>42493</v>
      </c>
      <c r="T116" s="41">
        <v>2.3530698138425552</v>
      </c>
      <c r="U116" s="39">
        <v>37347.137044013863</v>
      </c>
      <c r="V116" s="39">
        <v>43006</v>
      </c>
      <c r="W116" s="41">
        <v>2.3792243735352545</v>
      </c>
      <c r="X116" s="42">
        <v>0.32390000000000002</v>
      </c>
      <c r="Y116" s="42">
        <v>6.9000000000000006E-2</v>
      </c>
      <c r="Z116" s="42">
        <v>0.26719999999999999</v>
      </c>
      <c r="AA116" s="42">
        <v>0.2054</v>
      </c>
      <c r="AB116" s="42">
        <v>4.8800000000000003E-2</v>
      </c>
      <c r="AC116" s="42"/>
      <c r="AD116" s="42"/>
      <c r="AE116" s="42"/>
      <c r="AF116" s="42">
        <v>6.4999999999999997E-3</v>
      </c>
      <c r="AG116" s="42"/>
      <c r="AH116" s="42"/>
      <c r="AI116" s="42"/>
      <c r="AJ116" s="42">
        <v>7.9200000000000007E-2</v>
      </c>
      <c r="AK116" s="39">
        <v>16926</v>
      </c>
      <c r="AL116" s="39">
        <v>3</v>
      </c>
      <c r="AM116" s="39">
        <v>401836</v>
      </c>
      <c r="AN116" s="39">
        <v>713</v>
      </c>
      <c r="AO116" s="39">
        <v>10030</v>
      </c>
      <c r="AP116" s="39">
        <v>6098</v>
      </c>
      <c r="AQ116" s="39">
        <v>7101</v>
      </c>
      <c r="AR116" s="39"/>
      <c r="AS116" s="42"/>
      <c r="AT116" s="42"/>
      <c r="AU116" s="42"/>
      <c r="AV116" s="42"/>
      <c r="AW116" s="42"/>
      <c r="AX116" s="42"/>
      <c r="AY116" s="42">
        <v>1</v>
      </c>
      <c r="AZ116" s="42"/>
      <c r="BA116" s="42"/>
      <c r="BB116" s="42"/>
      <c r="BC116" s="42"/>
      <c r="BD116" s="42"/>
      <c r="BE116" s="42"/>
      <c r="BF116" s="42"/>
      <c r="BG116" s="42"/>
      <c r="BH116" s="42"/>
      <c r="BI116" s="42">
        <v>0.234726291441789</v>
      </c>
      <c r="BJ116" s="42">
        <v>0.52200462606013898</v>
      </c>
      <c r="BK116" s="42">
        <v>0.242744795682344</v>
      </c>
      <c r="BL116" s="42"/>
      <c r="BM116" s="42"/>
      <c r="BN116" s="42">
        <v>5.2428681572860402E-4</v>
      </c>
      <c r="BO116" s="42"/>
      <c r="BP116" s="42"/>
      <c r="BQ116" s="42"/>
      <c r="BR116" s="42"/>
      <c r="BS116" s="42"/>
      <c r="BT116" s="42"/>
      <c r="BU116" s="42"/>
      <c r="BV116" s="42"/>
      <c r="BW116" s="39"/>
      <c r="BX116" s="39"/>
      <c r="BY116" s="39"/>
      <c r="BZ116" s="39"/>
      <c r="CA116" s="39"/>
      <c r="CB116" s="27" t="s">
        <v>96</v>
      </c>
      <c r="CC116" s="27" t="s">
        <v>96</v>
      </c>
      <c r="CD116" s="27" t="s">
        <v>96</v>
      </c>
      <c r="CE116" s="27" t="s">
        <v>619</v>
      </c>
      <c r="CF116" s="27" t="s">
        <v>96</v>
      </c>
      <c r="CG116" s="27"/>
      <c r="CH116" s="27" t="s">
        <v>95</v>
      </c>
      <c r="CI116" s="27"/>
      <c r="CJ116" s="27" t="s">
        <v>620</v>
      </c>
      <c r="CK116" s="27"/>
      <c r="CL116" s="27" t="s">
        <v>96</v>
      </c>
      <c r="CM116" s="27" t="s">
        <v>621</v>
      </c>
      <c r="CN116" s="27"/>
      <c r="CO116" s="27"/>
      <c r="CP116" s="27"/>
      <c r="CQ116" s="27"/>
      <c r="CR116" s="43"/>
      <c r="CS116" s="43"/>
      <c r="CT116" s="43"/>
      <c r="CU116" s="43"/>
      <c r="CV116" s="43"/>
      <c r="CW116" s="43"/>
      <c r="CX116" s="43"/>
      <c r="CY116" s="43"/>
      <c r="CZ116" s="43"/>
      <c r="DA116" s="43"/>
      <c r="DB116" s="43"/>
      <c r="DC116" s="43"/>
      <c r="DD116" s="43"/>
      <c r="DE116" s="43"/>
      <c r="DF116" s="43"/>
    </row>
    <row r="117" spans="1:110" ht="14">
      <c r="A117" s="27" t="s">
        <v>622</v>
      </c>
      <c r="B117" s="27" t="s">
        <v>1713</v>
      </c>
      <c r="C117" s="27" t="s">
        <v>623</v>
      </c>
      <c r="D117" s="27" t="s">
        <v>122</v>
      </c>
      <c r="E117" s="27" t="s">
        <v>122</v>
      </c>
      <c r="F117" s="39">
        <v>71033884500</v>
      </c>
      <c r="G117" s="39">
        <v>2792454</v>
      </c>
      <c r="H117" s="40">
        <v>2022</v>
      </c>
      <c r="I117" s="39">
        <v>1317000</v>
      </c>
      <c r="J117" s="27" t="s">
        <v>94</v>
      </c>
      <c r="K117" s="41">
        <v>1.2921320022038651</v>
      </c>
      <c r="L117" s="39">
        <v>1317000.0000000002</v>
      </c>
      <c r="M117" s="39">
        <v>2792454</v>
      </c>
      <c r="N117" s="41">
        <v>1.2921320022038651</v>
      </c>
      <c r="O117" s="39">
        <v>1373050.3821885739</v>
      </c>
      <c r="P117" s="39">
        <v>2717405</v>
      </c>
      <c r="Q117" s="41">
        <v>1.3843287507786994</v>
      </c>
      <c r="R117" s="39">
        <v>1325032.961792822</v>
      </c>
      <c r="S117" s="39">
        <v>2495969</v>
      </c>
      <c r="T117" s="41">
        <v>1.4544360497197977</v>
      </c>
      <c r="U117" s="39">
        <v>1236233.1761858216</v>
      </c>
      <c r="V117" s="39">
        <v>2270467</v>
      </c>
      <c r="W117" s="41">
        <v>1.4917372543746634</v>
      </c>
      <c r="X117" s="42">
        <v>0.30180000000000001</v>
      </c>
      <c r="Y117" s="42">
        <v>4.4400000000000002E-2</v>
      </c>
      <c r="Z117" s="42">
        <v>1.6799999999999999E-2</v>
      </c>
      <c r="AA117" s="42">
        <v>6.3200000000000006E-2</v>
      </c>
      <c r="AB117" s="42">
        <v>0.12720000000000001</v>
      </c>
      <c r="AC117" s="42"/>
      <c r="AD117" s="42">
        <v>9.2999999999999992E-3</v>
      </c>
      <c r="AE117" s="42">
        <v>4.6399999999999997E-2</v>
      </c>
      <c r="AF117" s="42">
        <v>7.85E-2</v>
      </c>
      <c r="AG117" s="42"/>
      <c r="AH117" s="42"/>
      <c r="AI117" s="42"/>
      <c r="AJ117" s="42">
        <v>0.31240000000000001</v>
      </c>
      <c r="AK117" s="39"/>
      <c r="AL117" s="39">
        <v>301722</v>
      </c>
      <c r="AM117" s="39">
        <v>558430</v>
      </c>
      <c r="AN117" s="39">
        <v>37000</v>
      </c>
      <c r="AO117" s="39">
        <v>231712</v>
      </c>
      <c r="AP117" s="39">
        <v>2186749</v>
      </c>
      <c r="AQ117" s="39">
        <v>68261</v>
      </c>
      <c r="AR117" s="39">
        <v>4182</v>
      </c>
      <c r="AS117" s="42"/>
      <c r="AT117" s="42"/>
      <c r="AU117" s="42"/>
      <c r="AV117" s="42"/>
      <c r="AW117" s="42"/>
      <c r="AX117" s="42"/>
      <c r="AY117" s="42">
        <v>0.99</v>
      </c>
      <c r="AZ117" s="42"/>
      <c r="BA117" s="42"/>
      <c r="BB117" s="42"/>
      <c r="BC117" s="42"/>
      <c r="BD117" s="42"/>
      <c r="BE117" s="42"/>
      <c r="BF117" s="42"/>
      <c r="BG117" s="42">
        <v>0.13639999999999999</v>
      </c>
      <c r="BH117" s="42"/>
      <c r="BI117" s="42">
        <v>0.21890000000000001</v>
      </c>
      <c r="BJ117" s="42">
        <v>0.26500000000000001</v>
      </c>
      <c r="BK117" s="42">
        <v>0.37959999999999999</v>
      </c>
      <c r="BL117" s="42"/>
      <c r="BM117" s="42"/>
      <c r="BN117" s="42">
        <v>1E-4</v>
      </c>
      <c r="BO117" s="42"/>
      <c r="BP117" s="42"/>
      <c r="BQ117" s="42"/>
      <c r="BR117" s="42"/>
      <c r="BS117" s="42"/>
      <c r="BT117" s="42"/>
      <c r="BU117" s="42"/>
      <c r="BV117" s="42"/>
      <c r="BW117" s="39">
        <v>7415</v>
      </c>
      <c r="BX117" s="39"/>
      <c r="BY117" s="39"/>
      <c r="BZ117" s="39"/>
      <c r="CA117" s="39"/>
      <c r="CB117" s="27" t="s">
        <v>96</v>
      </c>
      <c r="CC117" s="27" t="s">
        <v>96</v>
      </c>
      <c r="CD117" s="27" t="s">
        <v>96</v>
      </c>
      <c r="CE117" s="27" t="s">
        <v>624</v>
      </c>
      <c r="CF117" s="27" t="s">
        <v>96</v>
      </c>
      <c r="CG117" s="27" t="s">
        <v>96</v>
      </c>
      <c r="CH117" s="27" t="s">
        <v>95</v>
      </c>
      <c r="CI117" s="27"/>
      <c r="CJ117" s="27" t="s">
        <v>1590</v>
      </c>
      <c r="CK117" s="27"/>
      <c r="CL117" s="27" t="s">
        <v>96</v>
      </c>
      <c r="CM117" s="27" t="s">
        <v>625</v>
      </c>
      <c r="CN117" s="27" t="s">
        <v>96</v>
      </c>
      <c r="CO117" s="27"/>
      <c r="CP117" s="27" t="s">
        <v>96</v>
      </c>
      <c r="CQ117" s="27"/>
      <c r="CR117" s="43" t="s">
        <v>96</v>
      </c>
      <c r="CS117" s="43" t="s">
        <v>96</v>
      </c>
      <c r="CT117" s="43"/>
      <c r="CU117" s="43" t="s">
        <v>96</v>
      </c>
      <c r="CV117" s="43" t="s">
        <v>96</v>
      </c>
      <c r="CW117" s="43" t="s">
        <v>96</v>
      </c>
      <c r="CX117" s="43" t="s">
        <v>96</v>
      </c>
      <c r="CY117" s="43" t="s">
        <v>1723</v>
      </c>
      <c r="CZ117" s="43" t="s">
        <v>109</v>
      </c>
      <c r="DA117" s="43" t="s">
        <v>1470</v>
      </c>
      <c r="DB117" s="43" t="s">
        <v>96</v>
      </c>
      <c r="DC117" s="43" t="s">
        <v>168</v>
      </c>
      <c r="DD117" s="43" t="s">
        <v>1472</v>
      </c>
      <c r="DE117" s="43" t="s">
        <v>109</v>
      </c>
      <c r="DF117" s="43" t="s">
        <v>1470</v>
      </c>
    </row>
    <row r="118" spans="1:110" ht="14">
      <c r="A118" s="27" t="s">
        <v>626</v>
      </c>
      <c r="B118" s="27" t="s">
        <v>1713</v>
      </c>
      <c r="C118" s="27" t="s">
        <v>627</v>
      </c>
      <c r="D118" s="27" t="s">
        <v>122</v>
      </c>
      <c r="E118" s="27" t="s">
        <v>122</v>
      </c>
      <c r="F118" s="39">
        <v>80801680397</v>
      </c>
      <c r="G118" s="39">
        <v>645633</v>
      </c>
      <c r="H118" s="40">
        <v>2022</v>
      </c>
      <c r="I118" s="39">
        <v>465501.39299999998</v>
      </c>
      <c r="J118" s="27" t="s">
        <v>94</v>
      </c>
      <c r="K118" s="41">
        <v>1.9753424657534246</v>
      </c>
      <c r="L118" s="39">
        <v>465501.39299999998</v>
      </c>
      <c r="M118" s="39">
        <v>645633</v>
      </c>
      <c r="N118" s="41">
        <v>1.9753424657534246</v>
      </c>
      <c r="O118" s="39">
        <v>519508.20711867302</v>
      </c>
      <c r="P118" s="39">
        <v>710726</v>
      </c>
      <c r="Q118" s="41">
        <v>2.0026144484506196</v>
      </c>
      <c r="R118" s="39">
        <v>561085.36501522525</v>
      </c>
      <c r="S118" s="39">
        <v>760767</v>
      </c>
      <c r="T118" s="41">
        <v>2.0206188992476077</v>
      </c>
      <c r="U118" s="39">
        <v>583120.09150920878</v>
      </c>
      <c r="V118" s="39">
        <v>790578</v>
      </c>
      <c r="W118" s="41">
        <v>2.0207864269003837</v>
      </c>
      <c r="X118" s="42">
        <v>0.31593382144485299</v>
      </c>
      <c r="Y118" s="42">
        <v>6.5633734848811007E-2</v>
      </c>
      <c r="Z118" s="42">
        <v>1.6099262012673098E-2</v>
      </c>
      <c r="AA118" s="42">
        <v>0.21975404397123999</v>
      </c>
      <c r="AB118" s="42">
        <v>8.72257360153008E-2</v>
      </c>
      <c r="AC118" s="42"/>
      <c r="AD118" s="42">
        <v>2.9612280048979901E-2</v>
      </c>
      <c r="AE118" s="42"/>
      <c r="AF118" s="42">
        <v>1.8730903582716701E-2</v>
      </c>
      <c r="AG118" s="42">
        <v>1.5227045283588101E-2</v>
      </c>
      <c r="AH118" s="42"/>
      <c r="AI118" s="42"/>
      <c r="AJ118" s="42">
        <v>0.23178317279183799</v>
      </c>
      <c r="AK118" s="39">
        <v>263258</v>
      </c>
      <c r="AL118" s="39">
        <v>11445</v>
      </c>
      <c r="AM118" s="39">
        <v>7570240</v>
      </c>
      <c r="AN118" s="39">
        <v>8983</v>
      </c>
      <c r="AO118" s="39">
        <v>243795</v>
      </c>
      <c r="AP118" s="39">
        <v>591036</v>
      </c>
      <c r="AQ118" s="39">
        <v>101243</v>
      </c>
      <c r="AR118" s="39">
        <v>1415</v>
      </c>
      <c r="AS118" s="42"/>
      <c r="AT118" s="42"/>
      <c r="AU118" s="42"/>
      <c r="AV118" s="42">
        <v>1</v>
      </c>
      <c r="AW118" s="42"/>
      <c r="AX118" s="42"/>
      <c r="AY118" s="42">
        <v>1</v>
      </c>
      <c r="AZ118" s="42"/>
      <c r="BA118" s="42"/>
      <c r="BB118" s="42">
        <v>1</v>
      </c>
      <c r="BC118" s="42"/>
      <c r="BD118" s="42"/>
      <c r="BE118" s="42"/>
      <c r="BF118" s="42"/>
      <c r="BG118" s="42"/>
      <c r="BH118" s="42"/>
      <c r="BI118" s="42">
        <v>0.219883317565437</v>
      </c>
      <c r="BJ118" s="42">
        <v>0.30694838641858502</v>
      </c>
      <c r="BK118" s="42">
        <v>0.412593293387995</v>
      </c>
      <c r="BL118" s="42">
        <v>6.05750026279828E-2</v>
      </c>
      <c r="BM118" s="42"/>
      <c r="BN118" s="42"/>
      <c r="BO118" s="42"/>
      <c r="BP118" s="42"/>
      <c r="BQ118" s="42"/>
      <c r="BR118" s="42"/>
      <c r="BS118" s="42"/>
      <c r="BT118" s="42"/>
      <c r="BU118" s="42"/>
      <c r="BV118" s="42"/>
      <c r="BW118" s="39">
        <v>1211</v>
      </c>
      <c r="BX118" s="39"/>
      <c r="BY118" s="39"/>
      <c r="BZ118" s="39"/>
      <c r="CA118" s="39"/>
      <c r="CB118" s="27" t="s">
        <v>95</v>
      </c>
      <c r="CC118" s="27" t="s">
        <v>96</v>
      </c>
      <c r="CD118" s="27" t="s">
        <v>95</v>
      </c>
      <c r="CE118" s="27" t="s">
        <v>511</v>
      </c>
      <c r="CF118" s="27" t="s">
        <v>96</v>
      </c>
      <c r="CG118" s="27"/>
      <c r="CH118" s="27" t="s">
        <v>95</v>
      </c>
      <c r="CI118" s="27"/>
      <c r="CJ118" s="27" t="s">
        <v>1584</v>
      </c>
      <c r="CK118" s="27"/>
      <c r="CL118" s="27" t="s">
        <v>96</v>
      </c>
      <c r="CM118" s="27" t="s">
        <v>628</v>
      </c>
      <c r="CN118" s="27" t="s">
        <v>96</v>
      </c>
      <c r="CO118" s="27"/>
      <c r="CP118" s="27"/>
      <c r="CQ118" s="27"/>
      <c r="CR118" s="43" t="s">
        <v>96</v>
      </c>
      <c r="CS118" s="43" t="s">
        <v>96</v>
      </c>
      <c r="CT118" s="43"/>
      <c r="CU118" s="43" t="s">
        <v>96</v>
      </c>
      <c r="CV118" s="43" t="s">
        <v>96</v>
      </c>
      <c r="CW118" s="43" t="s">
        <v>96</v>
      </c>
      <c r="CX118" s="43" t="s">
        <v>96</v>
      </c>
      <c r="CY118" s="43" t="s">
        <v>1723</v>
      </c>
      <c r="CZ118" s="43" t="s">
        <v>109</v>
      </c>
      <c r="DA118" s="43" t="s">
        <v>1470</v>
      </c>
      <c r="DB118" s="43"/>
      <c r="DC118" s="43"/>
      <c r="DD118" s="43"/>
      <c r="DE118" s="43"/>
      <c r="DF118" s="43"/>
    </row>
    <row r="119" spans="1:110" ht="14">
      <c r="A119" s="27" t="s">
        <v>629</v>
      </c>
      <c r="B119" s="47" t="s">
        <v>1712</v>
      </c>
      <c r="C119" s="27" t="s">
        <v>630</v>
      </c>
      <c r="D119" s="27" t="s">
        <v>122</v>
      </c>
      <c r="E119" s="27" t="s">
        <v>122</v>
      </c>
      <c r="F119" s="39">
        <v>24999113476</v>
      </c>
      <c r="G119" s="39">
        <v>699757</v>
      </c>
      <c r="H119" s="40">
        <v>2022</v>
      </c>
      <c r="I119" s="39">
        <v>443038.96</v>
      </c>
      <c r="J119" s="27" t="s">
        <v>94</v>
      </c>
      <c r="K119" s="41">
        <v>1.7346098286448206</v>
      </c>
      <c r="L119" s="39">
        <v>443038.96</v>
      </c>
      <c r="M119" s="39">
        <v>699757</v>
      </c>
      <c r="N119" s="41">
        <v>1.7346098286448206</v>
      </c>
      <c r="O119" s="39">
        <v>559757.52270615695</v>
      </c>
      <c r="P119" s="39">
        <v>726480</v>
      </c>
      <c r="Q119" s="41">
        <v>2.1109765636899449</v>
      </c>
      <c r="R119" s="39">
        <v>562128.39713777485</v>
      </c>
      <c r="S119" s="39">
        <v>708422</v>
      </c>
      <c r="T119" s="41">
        <v>2.1739553548272998</v>
      </c>
      <c r="U119" s="39">
        <v>540195.22698265617</v>
      </c>
      <c r="V119" s="39">
        <v>670881</v>
      </c>
      <c r="W119" s="41">
        <v>2.2060349350185113</v>
      </c>
      <c r="X119" s="42">
        <v>0.38</v>
      </c>
      <c r="Y119" s="42">
        <v>3.6999999999999998E-2</v>
      </c>
      <c r="Z119" s="42">
        <v>3.9E-2</v>
      </c>
      <c r="AA119" s="42">
        <v>0.251</v>
      </c>
      <c r="AB119" s="42">
        <v>0.218</v>
      </c>
      <c r="AC119" s="42"/>
      <c r="AD119" s="42">
        <v>2.3E-2</v>
      </c>
      <c r="AE119" s="42"/>
      <c r="AF119" s="42">
        <v>0.03</v>
      </c>
      <c r="AG119" s="42"/>
      <c r="AH119" s="42"/>
      <c r="AI119" s="42"/>
      <c r="AJ119" s="42">
        <v>2.4E-2</v>
      </c>
      <c r="AK119" s="39">
        <v>5705.46</v>
      </c>
      <c r="AL119" s="39"/>
      <c r="AM119" s="39"/>
      <c r="AN119" s="39">
        <v>13000</v>
      </c>
      <c r="AO119" s="39">
        <v>8255</v>
      </c>
      <c r="AP119" s="39"/>
      <c r="AQ119" s="39"/>
      <c r="AR119" s="39"/>
      <c r="AS119" s="42"/>
      <c r="AT119" s="42"/>
      <c r="AU119" s="42"/>
      <c r="AV119" s="42"/>
      <c r="AW119" s="42"/>
      <c r="AX119" s="42"/>
      <c r="AY119" s="42">
        <v>1</v>
      </c>
      <c r="AZ119" s="42"/>
      <c r="BA119" s="42"/>
      <c r="BB119" s="42"/>
      <c r="BC119" s="42"/>
      <c r="BD119" s="42"/>
      <c r="BE119" s="42"/>
      <c r="BF119" s="42"/>
      <c r="BG119" s="42"/>
      <c r="BH119" s="42"/>
      <c r="BI119" s="42">
        <v>1.14098317673913E-3</v>
      </c>
      <c r="BJ119" s="42">
        <v>1.28780096450208E-2</v>
      </c>
      <c r="BK119" s="42">
        <v>0.98598100717824</v>
      </c>
      <c r="BL119" s="42"/>
      <c r="BM119" s="42"/>
      <c r="BN119" s="42"/>
      <c r="BO119" s="42"/>
      <c r="BP119" s="42"/>
      <c r="BQ119" s="42"/>
      <c r="BR119" s="42"/>
      <c r="BS119" s="42"/>
      <c r="BT119" s="42"/>
      <c r="BU119" s="42"/>
      <c r="BV119" s="42"/>
      <c r="BW119" s="39"/>
      <c r="BX119" s="39"/>
      <c r="BY119" s="39"/>
      <c r="BZ119" s="39"/>
      <c r="CA119" s="39"/>
      <c r="CB119" s="27" t="s">
        <v>96</v>
      </c>
      <c r="CC119" s="27" t="s">
        <v>96</v>
      </c>
      <c r="CD119" s="27" t="s">
        <v>96</v>
      </c>
      <c r="CE119" s="27" t="s">
        <v>631</v>
      </c>
      <c r="CF119" s="27"/>
      <c r="CG119" s="27" t="s">
        <v>96</v>
      </c>
      <c r="CH119" s="27" t="s">
        <v>96</v>
      </c>
      <c r="CI119" s="27" t="s">
        <v>632</v>
      </c>
      <c r="CJ119" s="27" t="s">
        <v>633</v>
      </c>
      <c r="CK119" s="27"/>
      <c r="CL119" s="27" t="s">
        <v>96</v>
      </c>
      <c r="CM119" s="43"/>
      <c r="CN119" s="43"/>
      <c r="CO119" s="43"/>
      <c r="CP119" s="43"/>
      <c r="CQ119" s="43"/>
      <c r="CR119" s="43"/>
      <c r="CS119" s="43"/>
      <c r="CT119" s="43"/>
      <c r="CU119" s="43"/>
      <c r="CV119" s="43"/>
      <c r="CW119" s="43"/>
      <c r="CX119" s="43"/>
      <c r="CY119" s="43"/>
      <c r="CZ119" s="43"/>
      <c r="DA119" s="43"/>
      <c r="DB119" s="43"/>
      <c r="DC119" s="43"/>
      <c r="DD119" s="43"/>
      <c r="DE119" s="43"/>
      <c r="DF119" s="43"/>
    </row>
    <row r="120" spans="1:110" ht="14">
      <c r="A120" s="27" t="s">
        <v>634</v>
      </c>
      <c r="B120" s="33" t="s">
        <v>1693</v>
      </c>
      <c r="C120" s="27" t="s">
        <v>635</v>
      </c>
      <c r="D120" s="27" t="s">
        <v>93</v>
      </c>
      <c r="E120" s="27" t="s">
        <v>93</v>
      </c>
      <c r="F120" s="39">
        <v>14104664678.51</v>
      </c>
      <c r="G120" s="39">
        <v>27853115</v>
      </c>
      <c r="H120" s="40">
        <v>2019</v>
      </c>
      <c r="I120" s="39">
        <v>3558235.4412500001</v>
      </c>
      <c r="J120" s="27" t="s">
        <v>94</v>
      </c>
      <c r="K120" s="41">
        <v>0.35</v>
      </c>
      <c r="L120" s="39">
        <v>3652904.054992768</v>
      </c>
      <c r="M120" s="39">
        <v>30061046</v>
      </c>
      <c r="N120" s="41">
        <v>0.33292109379855511</v>
      </c>
      <c r="O120" s="39">
        <v>5229833.4123589443</v>
      </c>
      <c r="P120" s="39">
        <v>36292959</v>
      </c>
      <c r="Q120" s="41">
        <v>0.3947958808977694</v>
      </c>
      <c r="R120" s="39">
        <v>6594788.4875183776</v>
      </c>
      <c r="S120" s="39">
        <v>44432236</v>
      </c>
      <c r="T120" s="41">
        <v>0.40663975732470248</v>
      </c>
      <c r="U120" s="39">
        <v>8067134.1022335524</v>
      </c>
      <c r="V120" s="39">
        <v>52769059</v>
      </c>
      <c r="W120" s="41">
        <v>0.41883895004444355</v>
      </c>
      <c r="X120" s="42">
        <v>0.45369999999999999</v>
      </c>
      <c r="Y120" s="42">
        <v>7.6E-3</v>
      </c>
      <c r="Z120" s="42">
        <v>1.29E-2</v>
      </c>
      <c r="AA120" s="42">
        <v>3.5299999999999998E-2</v>
      </c>
      <c r="AB120" s="42">
        <v>5.79E-2</v>
      </c>
      <c r="AC120" s="42"/>
      <c r="AD120" s="42"/>
      <c r="AE120" s="42"/>
      <c r="AF120" s="42">
        <v>3.4500000000000003E-2</v>
      </c>
      <c r="AG120" s="42"/>
      <c r="AH120" s="42"/>
      <c r="AI120" s="42"/>
      <c r="AJ120" s="42">
        <v>0.39789999999999998</v>
      </c>
      <c r="AK120" s="39"/>
      <c r="AL120" s="39"/>
      <c r="AM120" s="39"/>
      <c r="AN120" s="39">
        <v>19000</v>
      </c>
      <c r="AO120" s="39">
        <v>45957</v>
      </c>
      <c r="AP120" s="39"/>
      <c r="AQ120" s="39"/>
      <c r="AR120" s="39"/>
      <c r="AS120" s="42"/>
      <c r="AT120" s="42"/>
      <c r="AU120" s="42">
        <v>7.3999999999999996E-2</v>
      </c>
      <c r="AV120" s="42"/>
      <c r="AW120" s="42"/>
      <c r="AX120" s="42">
        <v>0.14199999999999999</v>
      </c>
      <c r="AY120" s="42">
        <v>0.17699999999999999</v>
      </c>
      <c r="AZ120" s="42"/>
      <c r="BA120" s="42">
        <v>0.39600000000000002</v>
      </c>
      <c r="BB120" s="42"/>
      <c r="BC120" s="42"/>
      <c r="BD120" s="42"/>
      <c r="BE120" s="42"/>
      <c r="BF120" s="42"/>
      <c r="BG120" s="42"/>
      <c r="BH120" s="42"/>
      <c r="BI120" s="42"/>
      <c r="BJ120" s="42"/>
      <c r="BK120" s="42"/>
      <c r="BL120" s="42"/>
      <c r="BM120" s="42"/>
      <c r="BN120" s="42"/>
      <c r="BO120" s="42"/>
      <c r="BP120" s="42"/>
      <c r="BQ120" s="42">
        <v>0.54195804195804198</v>
      </c>
      <c r="BR120" s="42">
        <v>0.42074592074592099</v>
      </c>
      <c r="BS120" s="42"/>
      <c r="BT120" s="42">
        <v>3.73E-2</v>
      </c>
      <c r="BU120" s="42"/>
      <c r="BV120" s="42"/>
      <c r="BW120" s="39"/>
      <c r="BX120" s="39"/>
      <c r="BY120" s="39"/>
      <c r="BZ120" s="39"/>
      <c r="CA120" s="39"/>
      <c r="CB120" s="27" t="s">
        <v>95</v>
      </c>
      <c r="CC120" s="27" t="s">
        <v>95</v>
      </c>
      <c r="CD120" s="27" t="s">
        <v>95</v>
      </c>
      <c r="CE120" s="27" t="s">
        <v>95</v>
      </c>
      <c r="CF120" s="27" t="s">
        <v>96</v>
      </c>
      <c r="CG120" s="27" t="s">
        <v>96</v>
      </c>
      <c r="CH120" s="27" t="s">
        <v>95</v>
      </c>
      <c r="CI120" s="27" t="s">
        <v>95</v>
      </c>
      <c r="CJ120" s="27" t="s">
        <v>1639</v>
      </c>
      <c r="CK120" s="27" t="s">
        <v>95</v>
      </c>
      <c r="CL120" s="27" t="s">
        <v>96</v>
      </c>
      <c r="CM120" s="27" t="s">
        <v>636</v>
      </c>
      <c r="CN120" s="27" t="s">
        <v>95</v>
      </c>
      <c r="CO120" s="27"/>
      <c r="CP120" s="27" t="s">
        <v>95</v>
      </c>
      <c r="CQ120" s="27"/>
      <c r="CR120" s="43"/>
      <c r="CS120" s="43"/>
      <c r="CT120" s="43"/>
      <c r="CU120" s="43"/>
      <c r="CV120" s="43"/>
      <c r="CW120" s="43"/>
      <c r="CX120" s="43"/>
      <c r="CY120" s="43"/>
      <c r="CZ120" s="43"/>
      <c r="DA120" s="43"/>
      <c r="DB120" s="43"/>
      <c r="DC120" s="43"/>
      <c r="DD120" s="43"/>
      <c r="DE120" s="43"/>
      <c r="DF120" s="43"/>
    </row>
    <row r="121" spans="1:110" ht="14">
      <c r="A121" s="27" t="s">
        <v>637</v>
      </c>
      <c r="B121" s="33" t="s">
        <v>1693</v>
      </c>
      <c r="C121" s="27" t="s">
        <v>638</v>
      </c>
      <c r="D121" s="27" t="s">
        <v>93</v>
      </c>
      <c r="E121" s="27" t="s">
        <v>93</v>
      </c>
      <c r="F121" s="39">
        <v>9879231592</v>
      </c>
      <c r="G121" s="39">
        <v>18282540</v>
      </c>
      <c r="H121" s="40">
        <v>2018</v>
      </c>
      <c r="I121" s="39">
        <v>3102500</v>
      </c>
      <c r="J121" s="27" t="s">
        <v>94</v>
      </c>
      <c r="K121" s="41">
        <v>0.46492445798012744</v>
      </c>
      <c r="L121" s="39">
        <v>3420594.8870215095</v>
      </c>
      <c r="M121" s="39">
        <v>20304623</v>
      </c>
      <c r="N121" s="41">
        <v>0.46154478421760509</v>
      </c>
      <c r="O121" s="39">
        <v>4584250.2199352002</v>
      </c>
      <c r="P121" s="39">
        <v>24857207</v>
      </c>
      <c r="Q121" s="41">
        <v>0.50526954390564005</v>
      </c>
      <c r="R121" s="39">
        <v>5888164.6955389325</v>
      </c>
      <c r="S121" s="39">
        <v>30997505</v>
      </c>
      <c r="T121" s="41">
        <v>0.52042763022280925</v>
      </c>
      <c r="U121" s="39">
        <v>7251331.3653593566</v>
      </c>
      <c r="V121" s="39">
        <v>37061869</v>
      </c>
      <c r="W121" s="41">
        <v>0.5360404591294935</v>
      </c>
      <c r="X121" s="42">
        <v>0.82</v>
      </c>
      <c r="Y121" s="42">
        <v>0.03</v>
      </c>
      <c r="Z121" s="42">
        <v>0.01</v>
      </c>
      <c r="AA121" s="42">
        <v>0.04</v>
      </c>
      <c r="AB121" s="42">
        <v>7.0000000000000007E-2</v>
      </c>
      <c r="AC121" s="42"/>
      <c r="AD121" s="42"/>
      <c r="AE121" s="42"/>
      <c r="AF121" s="42"/>
      <c r="AG121" s="42"/>
      <c r="AH121" s="42"/>
      <c r="AI121" s="42"/>
      <c r="AJ121" s="42">
        <v>0.03</v>
      </c>
      <c r="AK121" s="39"/>
      <c r="AL121" s="39"/>
      <c r="AM121" s="39"/>
      <c r="AN121" s="39">
        <v>11000</v>
      </c>
      <c r="AO121" s="39"/>
      <c r="AP121" s="39"/>
      <c r="AQ121" s="39"/>
      <c r="AR121" s="39"/>
      <c r="AS121" s="42"/>
      <c r="AT121" s="42"/>
      <c r="AU121" s="42"/>
      <c r="AV121" s="42"/>
      <c r="AW121" s="42"/>
      <c r="AX121" s="42">
        <v>3.6200000000000003E-2</v>
      </c>
      <c r="AY121" s="42"/>
      <c r="AZ121" s="42"/>
      <c r="BA121" s="42"/>
      <c r="BB121" s="42"/>
      <c r="BC121" s="42">
        <v>0.3</v>
      </c>
      <c r="BD121" s="42"/>
      <c r="BE121" s="42"/>
      <c r="BF121" s="42"/>
      <c r="BG121" s="42"/>
      <c r="BH121" s="42"/>
      <c r="BI121" s="42"/>
      <c r="BJ121" s="42">
        <v>0.04</v>
      </c>
      <c r="BK121" s="42"/>
      <c r="BL121" s="42"/>
      <c r="BM121" s="42"/>
      <c r="BN121" s="42">
        <v>0.26</v>
      </c>
      <c r="BO121" s="42"/>
      <c r="BP121" s="42">
        <v>0.7</v>
      </c>
      <c r="BQ121" s="42">
        <v>0.75390000000000001</v>
      </c>
      <c r="BR121" s="42">
        <v>8.0299999999999996E-2</v>
      </c>
      <c r="BS121" s="42">
        <v>5.2400000000000002E-2</v>
      </c>
      <c r="BT121" s="42">
        <v>2.3699999999999999E-2</v>
      </c>
      <c r="BU121" s="42">
        <v>2.4E-2</v>
      </c>
      <c r="BV121" s="42">
        <v>6.5600000000000006E-2</v>
      </c>
      <c r="BW121" s="39"/>
      <c r="BX121" s="39"/>
      <c r="BY121" s="39"/>
      <c r="BZ121" s="39"/>
      <c r="CA121" s="39"/>
      <c r="CB121" s="27" t="s">
        <v>95</v>
      </c>
      <c r="CC121" s="27" t="s">
        <v>96</v>
      </c>
      <c r="CD121" s="27" t="s">
        <v>96</v>
      </c>
      <c r="CE121" s="27" t="s">
        <v>639</v>
      </c>
      <c r="CF121" s="27" t="s">
        <v>96</v>
      </c>
      <c r="CG121" s="27" t="s">
        <v>96</v>
      </c>
      <c r="CH121" s="27" t="s">
        <v>95</v>
      </c>
      <c r="CI121" s="27" t="s">
        <v>95</v>
      </c>
      <c r="CJ121" s="27" t="s">
        <v>1640</v>
      </c>
      <c r="CK121" s="27"/>
      <c r="CL121" s="27" t="s">
        <v>96</v>
      </c>
      <c r="CM121" s="27" t="s">
        <v>640</v>
      </c>
      <c r="CN121" s="27"/>
      <c r="CO121" s="27"/>
      <c r="CP121" s="27"/>
      <c r="CQ121" s="27"/>
      <c r="CR121" s="43" t="s">
        <v>96</v>
      </c>
      <c r="CS121" s="43"/>
      <c r="CT121" s="43"/>
      <c r="CU121" s="43"/>
      <c r="CV121" s="43" t="s">
        <v>96</v>
      </c>
      <c r="CW121" s="43"/>
      <c r="CX121" s="43"/>
      <c r="CY121" s="43" t="s">
        <v>106</v>
      </c>
      <c r="CZ121" s="43" t="s">
        <v>198</v>
      </c>
      <c r="DA121" s="43" t="s">
        <v>1471</v>
      </c>
      <c r="DB121" s="43"/>
      <c r="DC121" s="43"/>
      <c r="DD121" s="43"/>
      <c r="DE121" s="43"/>
      <c r="DF121" s="43"/>
    </row>
    <row r="122" spans="1:110" ht="14">
      <c r="A122" s="27" t="s">
        <v>641</v>
      </c>
      <c r="B122" s="47" t="s">
        <v>1712</v>
      </c>
      <c r="C122" s="27" t="s">
        <v>642</v>
      </c>
      <c r="D122" s="27" t="s">
        <v>1650</v>
      </c>
      <c r="E122" s="27" t="s">
        <v>1650</v>
      </c>
      <c r="F122" s="39">
        <v>314443047642</v>
      </c>
      <c r="G122" s="39">
        <v>29409588</v>
      </c>
      <c r="H122" s="40">
        <v>2012</v>
      </c>
      <c r="I122" s="39">
        <v>13963724</v>
      </c>
      <c r="J122" s="27" t="s">
        <v>94</v>
      </c>
      <c r="K122" s="41">
        <v>1.3008267263788864</v>
      </c>
      <c r="L122" s="39">
        <v>18451974.736524493</v>
      </c>
      <c r="M122" s="39">
        <v>34482632</v>
      </c>
      <c r="N122" s="41">
        <v>1.4660526911789349</v>
      </c>
      <c r="O122" s="39">
        <v>22216702.69907533</v>
      </c>
      <c r="P122" s="39">
        <v>37767553</v>
      </c>
      <c r="Q122" s="41">
        <v>1.6116394574889099</v>
      </c>
      <c r="R122" s="39">
        <v>26081974.677866109</v>
      </c>
      <c r="S122" s="39">
        <v>41348543</v>
      </c>
      <c r="T122" s="41">
        <v>1.7281737078587283</v>
      </c>
      <c r="U122" s="39">
        <v>28959095.364496291</v>
      </c>
      <c r="V122" s="39">
        <v>44178897</v>
      </c>
      <c r="W122" s="41">
        <v>1.795879768116208</v>
      </c>
      <c r="X122" s="42">
        <v>0.36</v>
      </c>
      <c r="Y122" s="42">
        <v>0.02</v>
      </c>
      <c r="Z122" s="42">
        <v>0.02</v>
      </c>
      <c r="AA122" s="42">
        <v>0.09</v>
      </c>
      <c r="AB122" s="42">
        <v>0.24</v>
      </c>
      <c r="AC122" s="42"/>
      <c r="AD122" s="42"/>
      <c r="AE122" s="42">
        <v>0.04</v>
      </c>
      <c r="AF122" s="42"/>
      <c r="AG122" s="42"/>
      <c r="AH122" s="42"/>
      <c r="AI122" s="42"/>
      <c r="AJ122" s="42">
        <v>0.23</v>
      </c>
      <c r="AK122" s="39">
        <v>16066.901</v>
      </c>
      <c r="AL122" s="39"/>
      <c r="AM122" s="39"/>
      <c r="AN122" s="39">
        <v>411000</v>
      </c>
      <c r="AO122" s="39"/>
      <c r="AP122" s="39"/>
      <c r="AQ122" s="39"/>
      <c r="AR122" s="39">
        <v>57400</v>
      </c>
      <c r="AS122" s="42"/>
      <c r="AT122" s="42"/>
      <c r="AU122" s="42"/>
      <c r="AV122" s="42"/>
      <c r="AW122" s="42"/>
      <c r="AX122" s="42"/>
      <c r="AY122" s="42"/>
      <c r="AZ122" s="42"/>
      <c r="BA122" s="42"/>
      <c r="BB122" s="42"/>
      <c r="BC122" s="42"/>
      <c r="BD122" s="42"/>
      <c r="BE122" s="42">
        <v>0.14084341918834201</v>
      </c>
      <c r="BF122" s="42">
        <v>2.5441609369322701E-2</v>
      </c>
      <c r="BG122" s="42"/>
      <c r="BH122" s="42"/>
      <c r="BI122" s="42"/>
      <c r="BJ122" s="42">
        <v>1.23192419620067E-3</v>
      </c>
      <c r="BK122" s="42">
        <v>1.87001832034306E-3</v>
      </c>
      <c r="BL122" s="42"/>
      <c r="BM122" s="42"/>
      <c r="BN122" s="42"/>
      <c r="BO122" s="42"/>
      <c r="BP122" s="42">
        <v>0.83060887193234201</v>
      </c>
      <c r="BQ122" s="42"/>
      <c r="BR122" s="42"/>
      <c r="BS122" s="42"/>
      <c r="BT122" s="42"/>
      <c r="BU122" s="42"/>
      <c r="BV122" s="42"/>
      <c r="BW122" s="39"/>
      <c r="BX122" s="39"/>
      <c r="BY122" s="39"/>
      <c r="BZ122" s="39"/>
      <c r="CA122" s="39"/>
      <c r="CB122" s="27" t="s">
        <v>95</v>
      </c>
      <c r="CC122" s="27" t="s">
        <v>96</v>
      </c>
      <c r="CD122" s="27" t="s">
        <v>96</v>
      </c>
      <c r="CE122" s="27" t="s">
        <v>643</v>
      </c>
      <c r="CF122" s="27" t="s">
        <v>96</v>
      </c>
      <c r="CG122" s="27" t="s">
        <v>96</v>
      </c>
      <c r="CH122" s="27" t="s">
        <v>96</v>
      </c>
      <c r="CI122" s="27" t="s">
        <v>644</v>
      </c>
      <c r="CJ122" s="27" t="s">
        <v>1551</v>
      </c>
      <c r="CK122" s="27"/>
      <c r="CL122" s="27" t="s">
        <v>96</v>
      </c>
      <c r="CM122" s="27" t="s">
        <v>645</v>
      </c>
      <c r="CN122" s="27" t="s">
        <v>95</v>
      </c>
      <c r="CO122" s="27"/>
      <c r="CP122" s="27"/>
      <c r="CQ122" s="27"/>
      <c r="CR122" s="43" t="s">
        <v>96</v>
      </c>
      <c r="CS122" s="43" t="s">
        <v>96</v>
      </c>
      <c r="CT122" s="43"/>
      <c r="CU122" s="43"/>
      <c r="CV122" s="43" t="s">
        <v>96</v>
      </c>
      <c r="CW122" s="43"/>
      <c r="CX122" s="43"/>
      <c r="CY122" s="43" t="s">
        <v>106</v>
      </c>
      <c r="CZ122" s="43" t="s">
        <v>198</v>
      </c>
      <c r="DA122" s="43" t="s">
        <v>1471</v>
      </c>
      <c r="DB122" s="43"/>
      <c r="DC122" s="43"/>
      <c r="DD122" s="43"/>
      <c r="DE122" s="43"/>
      <c r="DF122" s="43"/>
    </row>
    <row r="123" spans="1:110" ht="14">
      <c r="A123" s="27" t="s">
        <v>646</v>
      </c>
      <c r="B123" s="27" t="s">
        <v>1717</v>
      </c>
      <c r="C123" s="27" t="s">
        <v>647</v>
      </c>
      <c r="D123" s="27" t="s">
        <v>1650</v>
      </c>
      <c r="E123" s="27" t="s">
        <v>1650</v>
      </c>
      <c r="F123" s="39">
        <v>5726094799.3800001</v>
      </c>
      <c r="G123" s="39">
        <v>480463</v>
      </c>
      <c r="H123" s="40">
        <v>2019</v>
      </c>
      <c r="I123" s="39">
        <v>205261</v>
      </c>
      <c r="J123" s="27" t="s">
        <v>152</v>
      </c>
      <c r="K123" s="41">
        <v>1.1704520516867876</v>
      </c>
      <c r="L123" s="39">
        <v>225022.00241445427</v>
      </c>
      <c r="M123" s="39">
        <v>523068.99999999994</v>
      </c>
      <c r="N123" s="41">
        <v>1.1786181875659416</v>
      </c>
      <c r="O123" s="39">
        <v>284072.46316619543</v>
      </c>
      <c r="P123" s="39">
        <v>538580</v>
      </c>
      <c r="Q123" s="41">
        <v>1.445060568538147</v>
      </c>
      <c r="R123" s="39">
        <v>330773.59013298171</v>
      </c>
      <c r="S123" s="39">
        <v>563377</v>
      </c>
      <c r="T123" s="41">
        <v>1.6085658698579524</v>
      </c>
      <c r="U123" s="39">
        <v>366728.45485951216</v>
      </c>
      <c r="V123" s="39">
        <v>589054</v>
      </c>
      <c r="W123" s="41">
        <v>1.7056763773198833</v>
      </c>
      <c r="X123" s="42">
        <v>0.57406911200861299</v>
      </c>
      <c r="Y123" s="42">
        <v>2.2761264926118501E-2</v>
      </c>
      <c r="Z123" s="42">
        <v>2.8826713306473201E-2</v>
      </c>
      <c r="AA123" s="42">
        <v>7.4354115004798799E-2</v>
      </c>
      <c r="AB123" s="42">
        <v>9.9804638971845605E-2</v>
      </c>
      <c r="AC123" s="42">
        <v>3.2641368793877102E-3</v>
      </c>
      <c r="AD123" s="42">
        <v>4.5697916311427901E-3</v>
      </c>
      <c r="AE123" s="42">
        <v>5.5426992950438701E-2</v>
      </c>
      <c r="AF123" s="42">
        <v>2.0232776806115099E-2</v>
      </c>
      <c r="AG123" s="42"/>
      <c r="AH123" s="42">
        <v>1.1668071382288901E-2</v>
      </c>
      <c r="AI123" s="42">
        <v>6.0040631196379202E-2</v>
      </c>
      <c r="AJ123" s="42">
        <v>4.4986626782486702E-2</v>
      </c>
      <c r="AK123" s="39">
        <v>117</v>
      </c>
      <c r="AL123" s="39"/>
      <c r="AM123" s="39">
        <v>182500</v>
      </c>
      <c r="AN123" s="39">
        <v>5000</v>
      </c>
      <c r="AO123" s="39"/>
      <c r="AP123" s="39"/>
      <c r="AQ123" s="39"/>
      <c r="AR123" s="39">
        <v>6296</v>
      </c>
      <c r="AS123" s="42"/>
      <c r="AT123" s="42"/>
      <c r="AU123" s="42"/>
      <c r="AV123" s="42"/>
      <c r="AW123" s="42"/>
      <c r="AX123" s="42"/>
      <c r="AY123" s="42"/>
      <c r="AZ123" s="42">
        <v>0.79</v>
      </c>
      <c r="BA123" s="42"/>
      <c r="BB123" s="42"/>
      <c r="BC123" s="42"/>
      <c r="BD123" s="42">
        <v>0.79</v>
      </c>
      <c r="BE123" s="42"/>
      <c r="BF123" s="42"/>
      <c r="BG123" s="42"/>
      <c r="BH123" s="42"/>
      <c r="BI123" s="42"/>
      <c r="BJ123" s="42"/>
      <c r="BK123" s="42"/>
      <c r="BL123" s="42"/>
      <c r="BM123" s="42"/>
      <c r="BN123" s="42"/>
      <c r="BO123" s="42">
        <v>0.21</v>
      </c>
      <c r="BP123" s="42"/>
      <c r="BQ123" s="42">
        <v>0.313896987366375</v>
      </c>
      <c r="BR123" s="42">
        <v>0.25413022351797898</v>
      </c>
      <c r="BS123" s="42">
        <v>1.40913508260447E-2</v>
      </c>
      <c r="BT123" s="42">
        <v>0.34936831875607399</v>
      </c>
      <c r="BU123" s="42"/>
      <c r="BV123" s="42">
        <v>6.8513119533527705E-2</v>
      </c>
      <c r="BW123" s="39"/>
      <c r="BX123" s="39"/>
      <c r="BY123" s="39"/>
      <c r="BZ123" s="39"/>
      <c r="CA123" s="39"/>
      <c r="CB123" s="27" t="s">
        <v>95</v>
      </c>
      <c r="CC123" s="27" t="s">
        <v>96</v>
      </c>
      <c r="CD123" s="27" t="s">
        <v>96</v>
      </c>
      <c r="CE123" s="27" t="s">
        <v>648</v>
      </c>
      <c r="CF123" s="27" t="s">
        <v>96</v>
      </c>
      <c r="CG123" s="27" t="s">
        <v>96</v>
      </c>
      <c r="CH123" s="27" t="s">
        <v>96</v>
      </c>
      <c r="CI123" s="27" t="s">
        <v>649</v>
      </c>
      <c r="CJ123" s="27" t="s">
        <v>123</v>
      </c>
      <c r="CK123" s="27"/>
      <c r="CL123" s="27" t="s">
        <v>96</v>
      </c>
      <c r="CM123" s="27" t="s">
        <v>650</v>
      </c>
      <c r="CN123" s="27"/>
      <c r="CO123" s="27"/>
      <c r="CP123" s="27"/>
      <c r="CQ123" s="27"/>
      <c r="CR123" s="43" t="s">
        <v>96</v>
      </c>
      <c r="CS123" s="43"/>
      <c r="CT123" s="43"/>
      <c r="CU123" s="43"/>
      <c r="CV123" s="43"/>
      <c r="CW123" s="43"/>
      <c r="CX123" s="43" t="s">
        <v>96</v>
      </c>
      <c r="CY123" s="43" t="s">
        <v>106</v>
      </c>
      <c r="CZ123" s="43" t="s">
        <v>198</v>
      </c>
      <c r="DA123" s="43" t="s">
        <v>1471</v>
      </c>
      <c r="DB123" s="43"/>
      <c r="DC123" s="43"/>
      <c r="DD123" s="43"/>
      <c r="DE123" s="43"/>
      <c r="DF123" s="43"/>
    </row>
    <row r="124" spans="1:110" ht="14">
      <c r="A124" s="27" t="s">
        <v>651</v>
      </c>
      <c r="B124" s="33" t="s">
        <v>1693</v>
      </c>
      <c r="C124" s="27" t="s">
        <v>652</v>
      </c>
      <c r="D124" s="27"/>
      <c r="E124" s="27" t="s">
        <v>93</v>
      </c>
      <c r="F124" s="44"/>
      <c r="G124" s="39">
        <v>22729371</v>
      </c>
      <c r="H124" s="40" t="s">
        <v>123</v>
      </c>
      <c r="I124" s="39" t="s">
        <v>1620</v>
      </c>
      <c r="J124" s="27"/>
      <c r="K124" s="39" t="s">
        <v>1620</v>
      </c>
      <c r="L124" s="39">
        <v>1709132.772233153</v>
      </c>
      <c r="M124" s="39">
        <v>22729371</v>
      </c>
      <c r="N124" s="41">
        <v>0.20601342379271309</v>
      </c>
      <c r="O124" s="39">
        <v>2490584.1202689498</v>
      </c>
      <c r="P124" s="39">
        <v>28606389</v>
      </c>
      <c r="Q124" s="41">
        <v>0.2385312643872371</v>
      </c>
      <c r="R124" s="39">
        <v>3316196.905848295</v>
      </c>
      <c r="S124" s="39">
        <v>36979830</v>
      </c>
      <c r="T124" s="41">
        <v>0.24568720231885421</v>
      </c>
      <c r="U124" s="39">
        <v>4222594.8500057654</v>
      </c>
      <c r="V124" s="39">
        <v>45715849</v>
      </c>
      <c r="W124" s="41">
        <v>0.25305781838841984</v>
      </c>
      <c r="X124" s="42">
        <v>0.17499999999999999</v>
      </c>
      <c r="Y124" s="42">
        <v>0.01</v>
      </c>
      <c r="Z124" s="42">
        <v>3.5000000000000003E-2</v>
      </c>
      <c r="AA124" s="42">
        <v>3.5000000000000003E-2</v>
      </c>
      <c r="AB124" s="42">
        <v>0.02</v>
      </c>
      <c r="AC124" s="42"/>
      <c r="AD124" s="42"/>
      <c r="AE124" s="42"/>
      <c r="AF124" s="42">
        <v>0.01</v>
      </c>
      <c r="AG124" s="42"/>
      <c r="AH124" s="42"/>
      <c r="AI124" s="42"/>
      <c r="AJ124" s="42">
        <v>0.71499999999999997</v>
      </c>
      <c r="AK124" s="39"/>
      <c r="AL124" s="39"/>
      <c r="AM124" s="39"/>
      <c r="AN124" s="39">
        <v>20000</v>
      </c>
      <c r="AO124" s="39"/>
      <c r="AP124" s="39"/>
      <c r="AQ124" s="39"/>
      <c r="AR124" s="39"/>
      <c r="AS124" s="42"/>
      <c r="AT124" s="42"/>
      <c r="AU124" s="42"/>
      <c r="AV124" s="42"/>
      <c r="AW124" s="42">
        <v>0.09</v>
      </c>
      <c r="AX124" s="42"/>
      <c r="AY124" s="42"/>
      <c r="AZ124" s="42">
        <v>0.2</v>
      </c>
      <c r="BA124" s="42"/>
      <c r="BB124" s="42"/>
      <c r="BC124" s="42">
        <v>0.59199999999999997</v>
      </c>
      <c r="BD124" s="42"/>
      <c r="BE124" s="42"/>
      <c r="BF124" s="42"/>
      <c r="BG124" s="42"/>
      <c r="BH124" s="42"/>
      <c r="BI124" s="42"/>
      <c r="BJ124" s="42"/>
      <c r="BK124" s="42"/>
      <c r="BL124" s="42"/>
      <c r="BM124" s="42"/>
      <c r="BN124" s="42"/>
      <c r="BO124" s="42"/>
      <c r="BP124" s="42"/>
      <c r="BQ124" s="42">
        <v>0.94874999999999998</v>
      </c>
      <c r="BR124" s="42"/>
      <c r="BS124" s="42">
        <v>4.2500000000000003E-2</v>
      </c>
      <c r="BT124" s="42"/>
      <c r="BU124" s="42"/>
      <c r="BV124" s="42">
        <v>8.7500000000000008E-3</v>
      </c>
      <c r="BW124" s="39"/>
      <c r="BX124" s="39"/>
      <c r="BY124" s="39"/>
      <c r="BZ124" s="39"/>
      <c r="CA124" s="39"/>
      <c r="CB124" s="27" t="s">
        <v>95</v>
      </c>
      <c r="CC124" s="27" t="s">
        <v>96</v>
      </c>
      <c r="CD124" s="27" t="s">
        <v>96</v>
      </c>
      <c r="CE124" s="27" t="s">
        <v>653</v>
      </c>
      <c r="CF124" s="27" t="s">
        <v>96</v>
      </c>
      <c r="CG124" s="27" t="s">
        <v>96</v>
      </c>
      <c r="CH124" s="27" t="s">
        <v>95</v>
      </c>
      <c r="CI124" s="27" t="s">
        <v>95</v>
      </c>
      <c r="CJ124" s="27" t="s">
        <v>123</v>
      </c>
      <c r="CK124" s="27" t="s">
        <v>95</v>
      </c>
      <c r="CL124" s="27" t="s">
        <v>96</v>
      </c>
      <c r="CM124" s="27" t="s">
        <v>1641</v>
      </c>
      <c r="CN124" s="27" t="s">
        <v>95</v>
      </c>
      <c r="CO124" s="27"/>
      <c r="CP124" s="27" t="s">
        <v>95</v>
      </c>
      <c r="CQ124" s="27"/>
      <c r="CR124" s="43"/>
      <c r="CS124" s="43"/>
      <c r="CT124" s="43"/>
      <c r="CU124" s="43"/>
      <c r="CV124" s="43"/>
      <c r="CW124" s="43"/>
      <c r="CX124" s="43"/>
      <c r="CY124" s="43"/>
      <c r="CZ124" s="43"/>
      <c r="DA124" s="43"/>
      <c r="DB124" s="43"/>
      <c r="DC124" s="43"/>
      <c r="DD124" s="43"/>
      <c r="DE124" s="43"/>
      <c r="DF124" s="43"/>
    </row>
    <row r="125" spans="1:110" ht="14">
      <c r="A125" s="27" t="s">
        <v>654</v>
      </c>
      <c r="B125" t="s">
        <v>1715</v>
      </c>
      <c r="C125" s="27" t="s">
        <v>655</v>
      </c>
      <c r="D125" s="27" t="s">
        <v>122</v>
      </c>
      <c r="E125" s="27" t="s">
        <v>122</v>
      </c>
      <c r="F125" s="39">
        <v>19239187084</v>
      </c>
      <c r="G125" s="39">
        <v>526866</v>
      </c>
      <c r="H125" s="40">
        <v>2022</v>
      </c>
      <c r="I125" s="39">
        <v>306109.14600000001</v>
      </c>
      <c r="J125" s="27" t="s">
        <v>94</v>
      </c>
      <c r="K125" s="41">
        <v>1.5917808219178082</v>
      </c>
      <c r="L125" s="39">
        <v>306109.14600000001</v>
      </c>
      <c r="M125" s="39">
        <v>526866</v>
      </c>
      <c r="N125" s="41">
        <v>1.5917808219178082</v>
      </c>
      <c r="O125" s="39">
        <v>346875.17228718818</v>
      </c>
      <c r="P125" s="39">
        <v>554720</v>
      </c>
      <c r="Q125" s="41">
        <v>1.713193931664837</v>
      </c>
      <c r="R125" s="39">
        <v>363413.75575087772</v>
      </c>
      <c r="S125" s="39">
        <v>552330</v>
      </c>
      <c r="T125" s="41">
        <v>1.8026435742126456</v>
      </c>
      <c r="U125" s="39">
        <v>361505.79709801031</v>
      </c>
      <c r="V125" s="39">
        <v>536717</v>
      </c>
      <c r="W125" s="41">
        <v>1.8453427809523673</v>
      </c>
      <c r="X125" s="42">
        <v>0.35599999999999998</v>
      </c>
      <c r="Y125" s="42">
        <v>6.9000000000000006E-2</v>
      </c>
      <c r="Z125" s="42">
        <v>4.3999999999999997E-2</v>
      </c>
      <c r="AA125" s="42">
        <v>0.157</v>
      </c>
      <c r="AB125" s="42">
        <v>0.17</v>
      </c>
      <c r="AC125" s="42"/>
      <c r="AD125" s="42">
        <v>8.0000000000000002E-3</v>
      </c>
      <c r="AE125" s="42">
        <v>1.0999999999999999E-2</v>
      </c>
      <c r="AF125" s="42">
        <v>5.2999999999999999E-2</v>
      </c>
      <c r="AG125" s="42">
        <v>3.0000000000000001E-3</v>
      </c>
      <c r="AH125" s="42">
        <v>6.0000000000000001E-3</v>
      </c>
      <c r="AI125" s="42"/>
      <c r="AJ125" s="42">
        <v>0.123</v>
      </c>
      <c r="AK125" s="39">
        <v>39807</v>
      </c>
      <c r="AL125" s="39">
        <v>11851</v>
      </c>
      <c r="AM125" s="39">
        <v>3010732</v>
      </c>
      <c r="AN125" s="39">
        <v>8000</v>
      </c>
      <c r="AO125" s="39">
        <v>41546</v>
      </c>
      <c r="AP125" s="39">
        <v>30185</v>
      </c>
      <c r="AQ125" s="39">
        <v>37944</v>
      </c>
      <c r="AR125" s="39">
        <v>632</v>
      </c>
      <c r="AS125" s="42">
        <v>0.48199999999999998</v>
      </c>
      <c r="AT125" s="42">
        <v>0.51800000000000002</v>
      </c>
      <c r="AU125" s="42"/>
      <c r="AV125" s="42"/>
      <c r="AW125" s="42"/>
      <c r="AX125" s="42">
        <v>1</v>
      </c>
      <c r="AY125" s="42"/>
      <c r="AZ125" s="42"/>
      <c r="BA125" s="42"/>
      <c r="BB125" s="42"/>
      <c r="BC125" s="42"/>
      <c r="BD125" s="42"/>
      <c r="BE125" s="42"/>
      <c r="BF125" s="42"/>
      <c r="BG125" s="42">
        <v>0.83243603719921799</v>
      </c>
      <c r="BH125" s="42"/>
      <c r="BI125" s="42"/>
      <c r="BJ125" s="42">
        <v>0.1212171964165</v>
      </c>
      <c r="BK125" s="42">
        <v>1.2503273506824101E-2</v>
      </c>
      <c r="BL125" s="42"/>
      <c r="BM125" s="42"/>
      <c r="BN125" s="42"/>
      <c r="BO125" s="42"/>
      <c r="BP125" s="42">
        <v>3.3843492877458199E-2</v>
      </c>
      <c r="BQ125" s="42"/>
      <c r="BR125" s="42"/>
      <c r="BS125" s="42"/>
      <c r="BT125" s="42"/>
      <c r="BU125" s="42"/>
      <c r="BV125" s="42"/>
      <c r="BW125" s="39">
        <v>1200</v>
      </c>
      <c r="BX125" s="39"/>
      <c r="BY125" s="39"/>
      <c r="BZ125" s="39"/>
      <c r="CA125" s="39"/>
      <c r="CB125" s="27" t="s">
        <v>96</v>
      </c>
      <c r="CC125" s="27" t="s">
        <v>96</v>
      </c>
      <c r="CD125" s="27" t="s">
        <v>96</v>
      </c>
      <c r="CE125" s="27" t="s">
        <v>656</v>
      </c>
      <c r="CF125" s="27" t="s">
        <v>96</v>
      </c>
      <c r="CG125" s="27" t="s">
        <v>96</v>
      </c>
      <c r="CH125" s="27" t="s">
        <v>96</v>
      </c>
      <c r="CI125" s="27" t="s">
        <v>657</v>
      </c>
      <c r="CJ125" s="27" t="s">
        <v>658</v>
      </c>
      <c r="CK125" s="27"/>
      <c r="CL125" s="27" t="s">
        <v>96</v>
      </c>
      <c r="CM125" s="27" t="s">
        <v>659</v>
      </c>
      <c r="CN125" s="27" t="s">
        <v>96</v>
      </c>
      <c r="CO125" s="27"/>
      <c r="CP125" s="27" t="s">
        <v>96</v>
      </c>
      <c r="CQ125" s="27"/>
      <c r="CR125" s="43" t="s">
        <v>96</v>
      </c>
      <c r="CS125" s="43" t="s">
        <v>96</v>
      </c>
      <c r="CT125" s="43"/>
      <c r="CU125" s="43" t="s">
        <v>96</v>
      </c>
      <c r="CV125" s="43" t="s">
        <v>96</v>
      </c>
      <c r="CW125" s="43" t="s">
        <v>96</v>
      </c>
      <c r="CX125" s="43" t="s">
        <v>96</v>
      </c>
      <c r="CY125" s="43" t="s">
        <v>1723</v>
      </c>
      <c r="CZ125" s="43" t="s">
        <v>109</v>
      </c>
      <c r="DA125" s="43" t="s">
        <v>1470</v>
      </c>
      <c r="DB125" s="43" t="s">
        <v>96</v>
      </c>
      <c r="DC125" s="43" t="s">
        <v>168</v>
      </c>
      <c r="DD125" s="43" t="s">
        <v>1472</v>
      </c>
      <c r="DE125" s="43" t="s">
        <v>109</v>
      </c>
      <c r="DF125" s="43" t="s">
        <v>1470</v>
      </c>
    </row>
    <row r="126" spans="1:110" ht="14">
      <c r="A126" s="27" t="s">
        <v>660</v>
      </c>
      <c r="B126" s="47" t="s">
        <v>1712</v>
      </c>
      <c r="C126" s="27" t="s">
        <v>661</v>
      </c>
      <c r="D126" s="27" t="s">
        <v>1650</v>
      </c>
      <c r="E126" s="27" t="s">
        <v>1650</v>
      </c>
      <c r="F126" s="39">
        <v>232900000</v>
      </c>
      <c r="G126" s="39">
        <v>44652</v>
      </c>
      <c r="H126" s="40">
        <v>2019</v>
      </c>
      <c r="I126" s="39">
        <v>21187.374</v>
      </c>
      <c r="J126" s="27" t="s">
        <v>94</v>
      </c>
      <c r="K126" s="41">
        <v>1.3</v>
      </c>
      <c r="L126" s="39">
        <v>20050.525195626382</v>
      </c>
      <c r="M126" s="39">
        <v>40682</v>
      </c>
      <c r="N126" s="41">
        <v>1.3503010112934992</v>
      </c>
      <c r="O126" s="39">
        <v>14567.018768428197</v>
      </c>
      <c r="P126" s="39">
        <v>31595</v>
      </c>
      <c r="Q126" s="41">
        <v>1.2631631733327147</v>
      </c>
      <c r="R126" s="39">
        <v>13417.840876476581</v>
      </c>
      <c r="S126" s="39">
        <v>26707</v>
      </c>
      <c r="T126" s="41">
        <v>1.3764633946440168</v>
      </c>
      <c r="U126" s="39">
        <v>13678.292366735905</v>
      </c>
      <c r="V126" s="39">
        <v>25244</v>
      </c>
      <c r="W126" s="41">
        <v>1.4845022028004926</v>
      </c>
      <c r="X126" s="42">
        <v>8.2675863372230401E-2</v>
      </c>
      <c r="Y126" s="42">
        <v>1.5070628808995099E-2</v>
      </c>
      <c r="Z126" s="42">
        <v>0.11357301459819499</v>
      </c>
      <c r="AA126" s="42">
        <v>0.233334908111683</v>
      </c>
      <c r="AB126" s="42">
        <v>0.20413851750366099</v>
      </c>
      <c r="AC126" s="42"/>
      <c r="AD126" s="42"/>
      <c r="AE126" s="42"/>
      <c r="AF126" s="42"/>
      <c r="AG126" s="42">
        <v>2.5511409269145398E-3</v>
      </c>
      <c r="AH126" s="42">
        <v>7.6061794302451899E-2</v>
      </c>
      <c r="AI126" s="42">
        <v>0.100911796664619</v>
      </c>
      <c r="AJ126" s="42">
        <v>0.171682335711249</v>
      </c>
      <c r="AK126" s="39"/>
      <c r="AL126" s="39"/>
      <c r="AM126" s="39"/>
      <c r="AN126" s="39">
        <v>124.70699999999999</v>
      </c>
      <c r="AO126" s="39"/>
      <c r="AP126" s="39"/>
      <c r="AQ126" s="39"/>
      <c r="AR126" s="39"/>
      <c r="AS126" s="42"/>
      <c r="AT126" s="42"/>
      <c r="AU126" s="42"/>
      <c r="AV126" s="42"/>
      <c r="AW126" s="42"/>
      <c r="AX126" s="42"/>
      <c r="AY126" s="42">
        <v>0.82699999999999996</v>
      </c>
      <c r="AZ126" s="42"/>
      <c r="BA126" s="42"/>
      <c r="BB126" s="42"/>
      <c r="BC126" s="42"/>
      <c r="BD126" s="42"/>
      <c r="BE126" s="42"/>
      <c r="BF126" s="42"/>
      <c r="BG126" s="42">
        <v>0.38802032931191399</v>
      </c>
      <c r="BH126" s="42"/>
      <c r="BI126" s="42"/>
      <c r="BJ126" s="42"/>
      <c r="BK126" s="42"/>
      <c r="BL126" s="42"/>
      <c r="BM126" s="42"/>
      <c r="BN126" s="42">
        <v>0.43897967068808602</v>
      </c>
      <c r="BO126" s="42">
        <v>0.17299999999999999</v>
      </c>
      <c r="BP126" s="42"/>
      <c r="BQ126" s="42"/>
      <c r="BR126" s="42"/>
      <c r="BS126" s="42"/>
      <c r="BT126" s="42"/>
      <c r="BU126" s="42"/>
      <c r="BV126" s="42"/>
      <c r="BW126" s="39"/>
      <c r="BX126" s="39"/>
      <c r="BY126" s="39"/>
      <c r="BZ126" s="39"/>
      <c r="CA126" s="39"/>
      <c r="CB126" s="27" t="s">
        <v>95</v>
      </c>
      <c r="CC126" s="27" t="s">
        <v>96</v>
      </c>
      <c r="CD126" s="27" t="s">
        <v>96</v>
      </c>
      <c r="CE126" s="27" t="s">
        <v>662</v>
      </c>
      <c r="CF126" s="27" t="s">
        <v>96</v>
      </c>
      <c r="CG126" s="27"/>
      <c r="CH126" s="27" t="s">
        <v>95</v>
      </c>
      <c r="CI126" s="27"/>
      <c r="CJ126" s="27" t="s">
        <v>1591</v>
      </c>
      <c r="CK126" s="27"/>
      <c r="CL126" s="27" t="s">
        <v>96</v>
      </c>
      <c r="CM126" s="27" t="s">
        <v>663</v>
      </c>
      <c r="CN126" s="27"/>
      <c r="CO126" s="27"/>
      <c r="CP126" s="27" t="s">
        <v>96</v>
      </c>
      <c r="CQ126" s="27"/>
      <c r="CR126" s="43"/>
      <c r="CS126" s="43"/>
      <c r="CT126" s="43"/>
      <c r="CU126" s="43"/>
      <c r="CV126" s="43"/>
      <c r="CW126" s="43"/>
      <c r="CX126" s="43"/>
      <c r="CY126" s="43"/>
      <c r="CZ126" s="43"/>
      <c r="DA126" s="43"/>
      <c r="DB126" s="43" t="s">
        <v>96</v>
      </c>
      <c r="DC126" s="43" t="s">
        <v>168</v>
      </c>
      <c r="DD126" s="43" t="s">
        <v>1472</v>
      </c>
      <c r="DE126" s="43" t="s">
        <v>109</v>
      </c>
      <c r="DF126" s="43" t="s">
        <v>1470</v>
      </c>
    </row>
    <row r="127" spans="1:110" ht="14">
      <c r="A127" s="27" t="s">
        <v>664</v>
      </c>
      <c r="B127" s="33" t="s">
        <v>1693</v>
      </c>
      <c r="C127" s="27" t="s">
        <v>665</v>
      </c>
      <c r="D127" s="27" t="s">
        <v>1651</v>
      </c>
      <c r="E127" s="27" t="s">
        <v>1651</v>
      </c>
      <c r="F127" s="39">
        <v>6398747592.1300001</v>
      </c>
      <c r="G127" s="39">
        <v>4025494</v>
      </c>
      <c r="H127" s="40">
        <v>2016</v>
      </c>
      <c r="I127" s="39">
        <v>454000</v>
      </c>
      <c r="J127" s="27" t="s">
        <v>94</v>
      </c>
      <c r="K127" s="41">
        <v>0.30898955915431903</v>
      </c>
      <c r="L127" s="39">
        <v>562643.60612112167</v>
      </c>
      <c r="M127" s="39">
        <v>4802913</v>
      </c>
      <c r="N127" s="41">
        <v>0.3209488349755012</v>
      </c>
      <c r="O127" s="39">
        <v>797047.98501171404</v>
      </c>
      <c r="P127" s="39">
        <v>5985283</v>
      </c>
      <c r="Q127" s="41">
        <v>0.36484375252116469</v>
      </c>
      <c r="R127" s="39">
        <v>1247221.9102973938</v>
      </c>
      <c r="S127" s="39">
        <v>7598054</v>
      </c>
      <c r="T127" s="41">
        <v>0.44972651281260972</v>
      </c>
      <c r="U127" s="39">
        <v>1842978.1830118238</v>
      </c>
      <c r="V127" s="39">
        <v>9327872</v>
      </c>
      <c r="W127" s="41">
        <v>0.54130838158186612</v>
      </c>
      <c r="X127" s="42"/>
      <c r="Y127" s="42"/>
      <c r="Z127" s="42"/>
      <c r="AA127" s="42"/>
      <c r="AB127" s="42"/>
      <c r="AC127" s="42"/>
      <c r="AD127" s="42"/>
      <c r="AE127" s="42"/>
      <c r="AF127" s="42"/>
      <c r="AG127" s="42"/>
      <c r="AH127" s="42"/>
      <c r="AI127" s="42"/>
      <c r="AJ127" s="42"/>
      <c r="AK127" s="39"/>
      <c r="AL127" s="39"/>
      <c r="AM127" s="39"/>
      <c r="AN127" s="39">
        <v>12000</v>
      </c>
      <c r="AO127" s="39"/>
      <c r="AP127" s="39"/>
      <c r="AQ127" s="39"/>
      <c r="AR127" s="39">
        <v>1206</v>
      </c>
      <c r="AS127" s="42"/>
      <c r="AT127" s="42"/>
      <c r="AU127" s="42"/>
      <c r="AV127" s="42">
        <v>0.05</v>
      </c>
      <c r="AW127" s="42"/>
      <c r="AX127" s="42"/>
      <c r="AY127" s="42"/>
      <c r="AZ127" s="42"/>
      <c r="BA127" s="42"/>
      <c r="BB127" s="42">
        <v>0.3</v>
      </c>
      <c r="BC127" s="42"/>
      <c r="BD127" s="42">
        <v>0.54700000000000004</v>
      </c>
      <c r="BE127" s="42">
        <v>0.373</v>
      </c>
      <c r="BF127" s="42"/>
      <c r="BG127" s="42"/>
      <c r="BH127" s="42"/>
      <c r="BI127" s="42"/>
      <c r="BJ127" s="42">
        <v>0.08</v>
      </c>
      <c r="BK127" s="42"/>
      <c r="BL127" s="42"/>
      <c r="BM127" s="42"/>
      <c r="BN127" s="42"/>
      <c r="BO127" s="42"/>
      <c r="BP127" s="42"/>
      <c r="BQ127" s="42"/>
      <c r="BR127" s="42"/>
      <c r="BS127" s="42"/>
      <c r="BT127" s="42"/>
      <c r="BU127" s="42"/>
      <c r="BV127" s="42"/>
      <c r="BW127" s="39"/>
      <c r="BX127" s="39"/>
      <c r="BY127" s="39"/>
      <c r="BZ127" s="39"/>
      <c r="CA127" s="39"/>
      <c r="CB127" s="27" t="s">
        <v>95</v>
      </c>
      <c r="CC127" s="27" t="s">
        <v>96</v>
      </c>
      <c r="CD127" s="27" t="s">
        <v>96</v>
      </c>
      <c r="CE127" s="27" t="s">
        <v>273</v>
      </c>
      <c r="CF127" s="27" t="s">
        <v>96</v>
      </c>
      <c r="CG127" s="27" t="s">
        <v>96</v>
      </c>
      <c r="CH127" s="27" t="s">
        <v>95</v>
      </c>
      <c r="CI127" s="27" t="s">
        <v>95</v>
      </c>
      <c r="CJ127" s="27" t="s">
        <v>123</v>
      </c>
      <c r="CK127" s="27"/>
      <c r="CL127" s="27" t="s">
        <v>96</v>
      </c>
      <c r="CM127" s="27" t="s">
        <v>666</v>
      </c>
      <c r="CN127" s="27"/>
      <c r="CO127" s="27"/>
      <c r="CP127" s="27"/>
      <c r="CQ127" s="27"/>
      <c r="CR127" s="43"/>
      <c r="CS127" s="43"/>
      <c r="CT127" s="43"/>
      <c r="CU127" s="43"/>
      <c r="CV127" s="43"/>
      <c r="CW127" s="43"/>
      <c r="CX127" s="43"/>
      <c r="CY127" s="43"/>
      <c r="CZ127" s="43"/>
      <c r="DA127" s="43"/>
      <c r="DB127" s="43"/>
      <c r="DC127" s="43"/>
      <c r="DD127" s="43"/>
      <c r="DE127" s="43"/>
      <c r="DF127" s="43"/>
    </row>
    <row r="128" spans="1:110" ht="14">
      <c r="A128" s="27" t="s">
        <v>667</v>
      </c>
      <c r="B128" s="33" t="s">
        <v>1693</v>
      </c>
      <c r="C128" s="27" t="s">
        <v>668</v>
      </c>
      <c r="D128" s="27" t="s">
        <v>1650</v>
      </c>
      <c r="E128" s="27" t="s">
        <v>1650</v>
      </c>
      <c r="F128" s="39">
        <v>12907767790</v>
      </c>
      <c r="G128" s="39">
        <v>1277600</v>
      </c>
      <c r="H128" s="40">
        <v>2022</v>
      </c>
      <c r="I128" s="39">
        <v>473983</v>
      </c>
      <c r="J128" s="27" t="s">
        <v>102</v>
      </c>
      <c r="K128" s="41">
        <v>1.0164242029147117</v>
      </c>
      <c r="L128" s="39">
        <v>473983</v>
      </c>
      <c r="M128" s="39">
        <v>1277600</v>
      </c>
      <c r="N128" s="41">
        <v>1.0164242029147117</v>
      </c>
      <c r="O128" s="39">
        <v>535302.84866581147</v>
      </c>
      <c r="P128" s="39">
        <v>1252364</v>
      </c>
      <c r="Q128" s="41">
        <v>1.1710518244133656</v>
      </c>
      <c r="R128" s="39">
        <v>569499.10317351879</v>
      </c>
      <c r="S128" s="39">
        <v>1198864</v>
      </c>
      <c r="T128" s="41">
        <v>1.301458310153518</v>
      </c>
      <c r="U128" s="39">
        <v>570095.53004784696</v>
      </c>
      <c r="V128" s="39">
        <v>1112142</v>
      </c>
      <c r="W128" s="41">
        <v>1.4044119921511129</v>
      </c>
      <c r="X128" s="42">
        <v>0.16</v>
      </c>
      <c r="Y128" s="42">
        <v>0.05</v>
      </c>
      <c r="Z128" s="42">
        <v>0.04</v>
      </c>
      <c r="AA128" s="42">
        <v>0.17</v>
      </c>
      <c r="AB128" s="42">
        <v>0.14000000000000001</v>
      </c>
      <c r="AC128" s="42"/>
      <c r="AD128" s="42"/>
      <c r="AE128" s="42">
        <v>0.32</v>
      </c>
      <c r="AF128" s="42">
        <v>0.06</v>
      </c>
      <c r="AG128" s="42"/>
      <c r="AH128" s="42"/>
      <c r="AI128" s="42"/>
      <c r="AJ128" s="42">
        <v>0.06</v>
      </c>
      <c r="AK128" s="39"/>
      <c r="AL128" s="39">
        <v>9456</v>
      </c>
      <c r="AM128" s="39">
        <v>5248</v>
      </c>
      <c r="AN128" s="39">
        <v>16000</v>
      </c>
      <c r="AO128" s="39">
        <v>3877</v>
      </c>
      <c r="AP128" s="39">
        <v>1882</v>
      </c>
      <c r="AQ128" s="39"/>
      <c r="AR128" s="39"/>
      <c r="AS128" s="42"/>
      <c r="AT128" s="42"/>
      <c r="AU128" s="42"/>
      <c r="AV128" s="42">
        <v>1</v>
      </c>
      <c r="AW128" s="42"/>
      <c r="AX128" s="42">
        <v>0.99299999999999999</v>
      </c>
      <c r="AY128" s="42">
        <v>1</v>
      </c>
      <c r="AZ128" s="42"/>
      <c r="BA128" s="42"/>
      <c r="BB128" s="42">
        <v>1</v>
      </c>
      <c r="BC128" s="42"/>
      <c r="BD128" s="42"/>
      <c r="BE128" s="42"/>
      <c r="BF128" s="42"/>
      <c r="BG128" s="42">
        <v>0.96</v>
      </c>
      <c r="BH128" s="42"/>
      <c r="BI128" s="42">
        <v>0</v>
      </c>
      <c r="BJ128" s="42">
        <v>0.04</v>
      </c>
      <c r="BK128" s="42"/>
      <c r="BL128" s="42"/>
      <c r="BM128" s="42"/>
      <c r="BN128" s="42"/>
      <c r="BO128" s="42"/>
      <c r="BP128" s="42"/>
      <c r="BQ128" s="42">
        <v>0.42859999999999998</v>
      </c>
      <c r="BR128" s="42"/>
      <c r="BS128" s="42">
        <v>0.42859999999999998</v>
      </c>
      <c r="BT128" s="42"/>
      <c r="BU128" s="42"/>
      <c r="BV128" s="42">
        <v>0.14280000000000001</v>
      </c>
      <c r="BW128" s="39"/>
      <c r="BX128" s="39"/>
      <c r="BY128" s="39"/>
      <c r="BZ128" s="39"/>
      <c r="CA128" s="39"/>
      <c r="CB128" s="27" t="s">
        <v>96</v>
      </c>
      <c r="CC128" s="27" t="s">
        <v>96</v>
      </c>
      <c r="CD128" s="27" t="s">
        <v>96</v>
      </c>
      <c r="CE128" s="27" t="s">
        <v>669</v>
      </c>
      <c r="CF128" s="27" t="s">
        <v>96</v>
      </c>
      <c r="CG128" s="27" t="s">
        <v>96</v>
      </c>
      <c r="CH128" s="27" t="s">
        <v>96</v>
      </c>
      <c r="CI128" s="27" t="s">
        <v>670</v>
      </c>
      <c r="CJ128" s="27" t="s">
        <v>1642</v>
      </c>
      <c r="CK128" s="27"/>
      <c r="CL128" s="27" t="s">
        <v>96</v>
      </c>
      <c r="CM128" s="27" t="s">
        <v>671</v>
      </c>
      <c r="CN128" s="27" t="s">
        <v>95</v>
      </c>
      <c r="CO128" s="27"/>
      <c r="CP128" s="27"/>
      <c r="CQ128" s="27"/>
      <c r="CR128" s="43" t="s">
        <v>96</v>
      </c>
      <c r="CS128" s="43"/>
      <c r="CT128" s="43"/>
      <c r="CU128" s="43"/>
      <c r="CV128" s="43"/>
      <c r="CW128" s="43"/>
      <c r="CX128" s="43" t="s">
        <v>96</v>
      </c>
      <c r="CY128" s="43" t="s">
        <v>106</v>
      </c>
      <c r="CZ128" s="43" t="s">
        <v>148</v>
      </c>
      <c r="DA128" s="43" t="s">
        <v>197</v>
      </c>
      <c r="DB128" s="43"/>
      <c r="DC128" s="43"/>
      <c r="DD128" s="43"/>
      <c r="DE128" s="43"/>
      <c r="DF128" s="43"/>
    </row>
    <row r="129" spans="1:110" ht="14">
      <c r="A129" s="27" t="s">
        <v>672</v>
      </c>
      <c r="B129" s="27" t="s">
        <v>1714</v>
      </c>
      <c r="C129" s="27" t="s">
        <v>673</v>
      </c>
      <c r="D129" s="27" t="s">
        <v>1650</v>
      </c>
      <c r="E129" s="27" t="s">
        <v>1650</v>
      </c>
      <c r="F129" s="39">
        <v>1316569466735</v>
      </c>
      <c r="G129" s="39">
        <v>127241179</v>
      </c>
      <c r="H129" s="40">
        <v>2021</v>
      </c>
      <c r="I129" s="39">
        <v>47670612.917029403</v>
      </c>
      <c r="J129" s="27" t="s">
        <v>94</v>
      </c>
      <c r="K129" s="41">
        <v>1.0264320087034517</v>
      </c>
      <c r="L129" s="39">
        <v>48785540.592455737</v>
      </c>
      <c r="M129" s="39">
        <v>128055116</v>
      </c>
      <c r="N129" s="41">
        <v>1.0437616199714859</v>
      </c>
      <c r="O129" s="39">
        <v>56540907.950268149</v>
      </c>
      <c r="P129" s="39">
        <v>136444674</v>
      </c>
      <c r="Q129" s="41">
        <v>1.1353070265243357</v>
      </c>
      <c r="R129" s="39">
        <v>65533481.460315414</v>
      </c>
      <c r="S129" s="39">
        <v>144319607</v>
      </c>
      <c r="T129" s="41">
        <v>1.2440706329167177</v>
      </c>
      <c r="U129" s="39">
        <v>73466074.6334894</v>
      </c>
      <c r="V129" s="39">
        <v>148819664</v>
      </c>
      <c r="W129" s="41">
        <v>1.3524887195288962</v>
      </c>
      <c r="X129" s="42">
        <v>0.33069999999999999</v>
      </c>
      <c r="Y129" s="42">
        <v>4.7300000000000002E-2</v>
      </c>
      <c r="Z129" s="42">
        <v>2.4299999999999999E-2</v>
      </c>
      <c r="AA129" s="42">
        <v>9.6199999999999994E-2</v>
      </c>
      <c r="AB129" s="42">
        <v>0.1239</v>
      </c>
      <c r="AC129" s="42">
        <v>0.01</v>
      </c>
      <c r="AD129" s="42">
        <v>7.9000000000000008E-3</v>
      </c>
      <c r="AE129" s="42">
        <v>0.1084</v>
      </c>
      <c r="AF129" s="42">
        <v>2.8199999999999999E-2</v>
      </c>
      <c r="AG129" s="42"/>
      <c r="AH129" s="42"/>
      <c r="AI129" s="42">
        <v>6.7500000000000004E-2</v>
      </c>
      <c r="AJ129" s="42">
        <v>0.15559999999999999</v>
      </c>
      <c r="AK129" s="39">
        <v>5281</v>
      </c>
      <c r="AL129" s="39">
        <v>960000</v>
      </c>
      <c r="AM129" s="39">
        <v>10153322.630000001</v>
      </c>
      <c r="AN129" s="39">
        <v>1499000</v>
      </c>
      <c r="AO129" s="39">
        <v>2447596.58</v>
      </c>
      <c r="AP129" s="39"/>
      <c r="AQ129" s="39">
        <v>243586315</v>
      </c>
      <c r="AR129" s="39">
        <v>620481.59</v>
      </c>
      <c r="AS129" s="42"/>
      <c r="AT129" s="42"/>
      <c r="AU129" s="42"/>
      <c r="AV129" s="42"/>
      <c r="AW129" s="42"/>
      <c r="AX129" s="42">
        <v>0.88349999999999995</v>
      </c>
      <c r="AY129" s="42">
        <v>0.995</v>
      </c>
      <c r="AZ129" s="42">
        <v>0.8387</v>
      </c>
      <c r="BA129" s="42"/>
      <c r="BB129" s="42"/>
      <c r="BC129" s="42"/>
      <c r="BD129" s="42">
        <v>3.0800000000000001E-2</v>
      </c>
      <c r="BE129" s="42">
        <v>0.39219999999999999</v>
      </c>
      <c r="BF129" s="42">
        <v>0.28899999999999998</v>
      </c>
      <c r="BG129" s="42"/>
      <c r="BH129" s="42"/>
      <c r="BI129" s="42">
        <v>6.3E-3</v>
      </c>
      <c r="BJ129" s="42">
        <v>7.4499999999999997E-2</v>
      </c>
      <c r="BK129" s="42"/>
      <c r="BL129" s="42"/>
      <c r="BM129" s="42">
        <v>6.4999999999999997E-3</v>
      </c>
      <c r="BN129" s="42"/>
      <c r="BO129" s="42">
        <v>0.16170000000000001</v>
      </c>
      <c r="BP129" s="42">
        <v>3.9E-2</v>
      </c>
      <c r="BQ129" s="42"/>
      <c r="BR129" s="42">
        <v>0.83862660944206002</v>
      </c>
      <c r="BS129" s="42">
        <v>2.48927038626609E-2</v>
      </c>
      <c r="BT129" s="42">
        <v>4.20600858369099E-2</v>
      </c>
      <c r="BU129" s="42"/>
      <c r="BV129" s="42">
        <v>9.5278969957081502E-2</v>
      </c>
      <c r="BW129" s="39">
        <v>46000</v>
      </c>
      <c r="BX129" s="39">
        <v>10718</v>
      </c>
      <c r="BY129" s="39">
        <v>136000</v>
      </c>
      <c r="BZ129" s="39">
        <v>35632</v>
      </c>
      <c r="CA129" s="39">
        <v>64000</v>
      </c>
      <c r="CB129" s="27" t="s">
        <v>96</v>
      </c>
      <c r="CC129" s="27" t="s">
        <v>96</v>
      </c>
      <c r="CD129" s="27"/>
      <c r="CE129" s="27" t="s">
        <v>674</v>
      </c>
      <c r="CF129" s="27" t="s">
        <v>96</v>
      </c>
      <c r="CG129" s="27" t="s">
        <v>96</v>
      </c>
      <c r="CH129" s="27" t="s">
        <v>96</v>
      </c>
      <c r="CI129" s="27" t="s">
        <v>96</v>
      </c>
      <c r="CJ129" s="27" t="s">
        <v>675</v>
      </c>
      <c r="CK129" s="27"/>
      <c r="CL129" s="27"/>
      <c r="CM129" s="27"/>
      <c r="CN129" s="27" t="s">
        <v>96</v>
      </c>
      <c r="CO129" s="27"/>
      <c r="CP129" s="27"/>
      <c r="CQ129" s="27"/>
      <c r="CR129" s="43" t="s">
        <v>96</v>
      </c>
      <c r="CS129" s="43" t="s">
        <v>96</v>
      </c>
      <c r="CT129" s="43"/>
      <c r="CU129" s="43"/>
      <c r="CV129" s="43" t="s">
        <v>96</v>
      </c>
      <c r="CW129" s="43" t="s">
        <v>96</v>
      </c>
      <c r="CX129" s="43" t="s">
        <v>96</v>
      </c>
      <c r="CY129" s="43" t="s">
        <v>1723</v>
      </c>
      <c r="CZ129" s="43" t="s">
        <v>109</v>
      </c>
      <c r="DA129" s="43" t="s">
        <v>1470</v>
      </c>
      <c r="DB129" s="43"/>
      <c r="DC129" s="43"/>
      <c r="DD129" s="43"/>
      <c r="DE129" s="43"/>
      <c r="DF129" s="43"/>
    </row>
    <row r="130" spans="1:110" ht="14">
      <c r="A130" s="27" t="s">
        <v>676</v>
      </c>
      <c r="B130" s="47" t="s">
        <v>1712</v>
      </c>
      <c r="C130" s="27" t="s">
        <v>677</v>
      </c>
      <c r="D130" s="27" t="s">
        <v>1651</v>
      </c>
      <c r="E130" s="27" t="s">
        <v>1651</v>
      </c>
      <c r="F130" s="39">
        <v>415956896</v>
      </c>
      <c r="G130" s="39">
        <v>111859</v>
      </c>
      <c r="H130" s="40">
        <v>2022</v>
      </c>
      <c r="I130" s="39">
        <v>27375</v>
      </c>
      <c r="J130" s="27" t="s">
        <v>94</v>
      </c>
      <c r="K130" s="41">
        <v>0.67048695232390776</v>
      </c>
      <c r="L130" s="39">
        <v>27375</v>
      </c>
      <c r="M130" s="39">
        <v>111859</v>
      </c>
      <c r="N130" s="41">
        <v>0.67048695232390776</v>
      </c>
      <c r="O130" s="39">
        <v>29403.2686722648</v>
      </c>
      <c r="P130" s="39">
        <v>116074</v>
      </c>
      <c r="Q130" s="41">
        <v>0.69401330592517152</v>
      </c>
      <c r="R130" s="39">
        <v>39315.63093088974</v>
      </c>
      <c r="S130" s="39">
        <v>121445</v>
      </c>
      <c r="T130" s="41">
        <v>0.88693694548893243</v>
      </c>
      <c r="U130" s="39">
        <v>42073.623492820603</v>
      </c>
      <c r="V130" s="39">
        <v>126179</v>
      </c>
      <c r="W130" s="41">
        <v>0.91354505385360041</v>
      </c>
      <c r="X130" s="42">
        <v>0.1784</v>
      </c>
      <c r="Y130" s="42">
        <v>2.9399999999999999E-2</v>
      </c>
      <c r="Z130" s="42">
        <v>0.14749999999999999</v>
      </c>
      <c r="AA130" s="42">
        <v>0.1799</v>
      </c>
      <c r="AB130" s="42">
        <v>0.2089</v>
      </c>
      <c r="AC130" s="42"/>
      <c r="AD130" s="42"/>
      <c r="AE130" s="42"/>
      <c r="AF130" s="42"/>
      <c r="AG130" s="42"/>
      <c r="AH130" s="42">
        <v>7.5899999999999995E-2</v>
      </c>
      <c r="AI130" s="42">
        <v>5.5199999999999999E-2</v>
      </c>
      <c r="AJ130" s="42">
        <v>0.12479999999999999</v>
      </c>
      <c r="AK130" s="39"/>
      <c r="AL130" s="39"/>
      <c r="AM130" s="39"/>
      <c r="AN130" s="39">
        <v>200</v>
      </c>
      <c r="AO130" s="39"/>
      <c r="AP130" s="39"/>
      <c r="AQ130" s="39"/>
      <c r="AR130" s="39">
        <v>73.47</v>
      </c>
      <c r="AS130" s="42"/>
      <c r="AT130" s="42"/>
      <c r="AU130" s="42"/>
      <c r="AV130" s="42"/>
      <c r="AW130" s="42"/>
      <c r="AX130" s="42">
        <v>0.46689999999999998</v>
      </c>
      <c r="AY130" s="42"/>
      <c r="AZ130" s="42">
        <v>0.35510000000000003</v>
      </c>
      <c r="BA130" s="42"/>
      <c r="BB130" s="42"/>
      <c r="BC130" s="42"/>
      <c r="BD130" s="42"/>
      <c r="BE130" s="42"/>
      <c r="BF130" s="42"/>
      <c r="BG130" s="42"/>
      <c r="BH130" s="42"/>
      <c r="BI130" s="42"/>
      <c r="BJ130" s="42"/>
      <c r="BK130" s="42"/>
      <c r="BL130" s="42"/>
      <c r="BM130" s="42"/>
      <c r="BN130" s="42"/>
      <c r="BO130" s="42">
        <v>0.64490000000000003</v>
      </c>
      <c r="BP130" s="42">
        <v>0.35510000000000003</v>
      </c>
      <c r="BQ130" s="42"/>
      <c r="BR130" s="42"/>
      <c r="BS130" s="42"/>
      <c r="BT130" s="42"/>
      <c r="BU130" s="42"/>
      <c r="BV130" s="42"/>
      <c r="BW130" s="39"/>
      <c r="BX130" s="39"/>
      <c r="BY130" s="39"/>
      <c r="BZ130" s="39"/>
      <c r="CA130" s="39"/>
      <c r="CB130" s="27" t="s">
        <v>95</v>
      </c>
      <c r="CC130" s="27" t="s">
        <v>96</v>
      </c>
      <c r="CD130" s="27"/>
      <c r="CE130" s="27" t="s">
        <v>612</v>
      </c>
      <c r="CF130" s="27" t="s">
        <v>96</v>
      </c>
      <c r="CG130" s="27" t="s">
        <v>95</v>
      </c>
      <c r="CH130" s="27" t="s">
        <v>95</v>
      </c>
      <c r="CI130" s="27"/>
      <c r="CJ130" s="27" t="s">
        <v>678</v>
      </c>
      <c r="CK130" s="27"/>
      <c r="CL130" s="27" t="s">
        <v>96</v>
      </c>
      <c r="CM130" s="43" t="s">
        <v>679</v>
      </c>
      <c r="CN130" s="43"/>
      <c r="CO130" s="43"/>
      <c r="CP130" s="27" t="s">
        <v>96</v>
      </c>
      <c r="CQ130" s="43"/>
      <c r="CR130" s="43"/>
      <c r="CS130" s="43"/>
      <c r="CT130" s="43"/>
      <c r="CU130" s="43"/>
      <c r="CV130" s="43"/>
      <c r="CW130" s="43"/>
      <c r="CX130" s="43"/>
      <c r="CY130" s="43"/>
      <c r="CZ130" s="43"/>
      <c r="DA130" s="43"/>
      <c r="DB130" s="43" t="s">
        <v>96</v>
      </c>
      <c r="DC130" s="43" t="s">
        <v>162</v>
      </c>
      <c r="DD130" s="43" t="s">
        <v>1472</v>
      </c>
      <c r="DE130" s="43" t="s">
        <v>109</v>
      </c>
      <c r="DF130" s="43" t="s">
        <v>1470</v>
      </c>
    </row>
    <row r="131" spans="1:110" ht="14">
      <c r="A131" s="27" t="s">
        <v>680</v>
      </c>
      <c r="B131" s="27" t="s">
        <v>1713</v>
      </c>
      <c r="C131" s="27" t="s">
        <v>681</v>
      </c>
      <c r="D131" s="27" t="s">
        <v>1650</v>
      </c>
      <c r="E131" s="27" t="s">
        <v>1650</v>
      </c>
      <c r="F131" s="39">
        <v>11530746234.450001</v>
      </c>
      <c r="G131" s="39">
        <v>3089950</v>
      </c>
      <c r="H131" s="40">
        <v>2020</v>
      </c>
      <c r="I131" s="39">
        <v>948880</v>
      </c>
      <c r="J131" s="27" t="s">
        <v>94</v>
      </c>
      <c r="K131" s="41">
        <v>0.84133116486568149</v>
      </c>
      <c r="L131" s="39">
        <v>948656.54896292824</v>
      </c>
      <c r="M131" s="39">
        <v>2999245</v>
      </c>
      <c r="N131" s="41">
        <v>0.86657109981165192</v>
      </c>
      <c r="O131" s="39">
        <v>931712.55795018317</v>
      </c>
      <c r="P131" s="39">
        <v>2859879</v>
      </c>
      <c r="Q131" s="41">
        <v>0.8925682328060015</v>
      </c>
      <c r="R131" s="39">
        <v>1017792.9806570738</v>
      </c>
      <c r="S131" s="39">
        <v>2581133</v>
      </c>
      <c r="T131" s="41">
        <v>1.0803294210753269</v>
      </c>
      <c r="U131" s="39">
        <v>1020489.0890715552</v>
      </c>
      <c r="V131" s="39">
        <v>2361942</v>
      </c>
      <c r="W131" s="41">
        <v>1.1837126051377471</v>
      </c>
      <c r="X131" s="42">
        <v>0.29699999999999999</v>
      </c>
      <c r="Y131" s="42">
        <v>5.7000000000000002E-2</v>
      </c>
      <c r="Z131" s="42">
        <v>1.6E-2</v>
      </c>
      <c r="AA131" s="42">
        <v>0.10100000000000001</v>
      </c>
      <c r="AB131" s="42">
        <v>0.113</v>
      </c>
      <c r="AC131" s="42"/>
      <c r="AD131" s="42">
        <v>6.0000000000000001E-3</v>
      </c>
      <c r="AE131" s="42">
        <v>0.159</v>
      </c>
      <c r="AF131" s="42">
        <v>1.9E-2</v>
      </c>
      <c r="AG131" s="42">
        <v>3.0000000000000001E-3</v>
      </c>
      <c r="AH131" s="42"/>
      <c r="AI131" s="42"/>
      <c r="AJ131" s="42">
        <v>0.22800000000000001</v>
      </c>
      <c r="AK131" s="39">
        <v>42251.1</v>
      </c>
      <c r="AL131" s="39">
        <v>135391.1</v>
      </c>
      <c r="AM131" s="39">
        <v>20937.599999999999</v>
      </c>
      <c r="AN131" s="39">
        <v>21000</v>
      </c>
      <c r="AO131" s="39">
        <v>5015.2</v>
      </c>
      <c r="AP131" s="39"/>
      <c r="AQ131" s="39"/>
      <c r="AR131" s="39">
        <v>663.3</v>
      </c>
      <c r="AS131" s="42"/>
      <c r="AT131" s="42"/>
      <c r="AU131" s="42"/>
      <c r="AV131" s="42">
        <v>0.15</v>
      </c>
      <c r="AW131" s="42"/>
      <c r="AX131" s="42"/>
      <c r="AY131" s="42"/>
      <c r="AZ131" s="42"/>
      <c r="BA131" s="42"/>
      <c r="BB131" s="42">
        <v>0.77</v>
      </c>
      <c r="BC131" s="42"/>
      <c r="BD131" s="42">
        <v>0.58799999999999997</v>
      </c>
      <c r="BE131" s="42"/>
      <c r="BF131" s="42"/>
      <c r="BG131" s="42">
        <v>0.35099999999999998</v>
      </c>
      <c r="BH131" s="42"/>
      <c r="BI131" s="42"/>
      <c r="BJ131" s="42">
        <v>6.0999999999999999E-2</v>
      </c>
      <c r="BK131" s="42"/>
      <c r="BL131" s="42"/>
      <c r="BM131" s="42"/>
      <c r="BN131" s="42"/>
      <c r="BO131" s="42"/>
      <c r="BP131" s="42"/>
      <c r="BQ131" s="42"/>
      <c r="BR131" s="42"/>
      <c r="BS131" s="42"/>
      <c r="BT131" s="42"/>
      <c r="BU131" s="42"/>
      <c r="BV131" s="42"/>
      <c r="BW131" s="39"/>
      <c r="BX131" s="39"/>
      <c r="BY131" s="39"/>
      <c r="BZ131" s="39"/>
      <c r="CA131" s="39"/>
      <c r="CB131" s="27" t="s">
        <v>96</v>
      </c>
      <c r="CC131" s="27" t="s">
        <v>95</v>
      </c>
      <c r="CD131" s="27" t="s">
        <v>96</v>
      </c>
      <c r="CE131" s="27" t="s">
        <v>682</v>
      </c>
      <c r="CF131" s="27" t="s">
        <v>96</v>
      </c>
      <c r="CG131" s="27" t="s">
        <v>96</v>
      </c>
      <c r="CH131" s="27" t="s">
        <v>95</v>
      </c>
      <c r="CI131" s="27" t="s">
        <v>683</v>
      </c>
      <c r="CJ131" s="27" t="s">
        <v>1585</v>
      </c>
      <c r="CK131" s="27"/>
      <c r="CL131" s="27" t="s">
        <v>96</v>
      </c>
      <c r="CM131" s="27" t="s">
        <v>683</v>
      </c>
      <c r="CN131" s="27" t="s">
        <v>96</v>
      </c>
      <c r="CO131" s="27"/>
      <c r="CP131" s="27"/>
      <c r="CQ131" s="27"/>
      <c r="CR131" s="43" t="s">
        <v>96</v>
      </c>
      <c r="CS131" s="43" t="s">
        <v>96</v>
      </c>
      <c r="CT131" s="43"/>
      <c r="CU131" s="43"/>
      <c r="CV131" s="43" t="s">
        <v>96</v>
      </c>
      <c r="CW131" s="43" t="s">
        <v>96</v>
      </c>
      <c r="CX131" s="43" t="s">
        <v>96</v>
      </c>
      <c r="CY131" s="43" t="s">
        <v>1723</v>
      </c>
      <c r="CZ131" s="43" t="s">
        <v>109</v>
      </c>
      <c r="DA131" s="43" t="s">
        <v>1470</v>
      </c>
      <c r="DB131" s="43"/>
      <c r="DC131" s="43"/>
      <c r="DD131" s="43"/>
      <c r="DE131" s="43"/>
      <c r="DF131" s="43"/>
    </row>
    <row r="132" spans="1:110" ht="14">
      <c r="A132" s="27" t="s">
        <v>684</v>
      </c>
      <c r="B132" s="27" t="s">
        <v>1713</v>
      </c>
      <c r="C132" s="27" t="s">
        <v>685</v>
      </c>
      <c r="D132" s="27" t="s">
        <v>122</v>
      </c>
      <c r="E132" s="27" t="s">
        <v>122</v>
      </c>
      <c r="F132" s="39">
        <v>9995350547</v>
      </c>
      <c r="G132" s="39">
        <v>38777</v>
      </c>
      <c r="H132" s="40">
        <v>2024</v>
      </c>
      <c r="I132" s="39">
        <v>46000</v>
      </c>
      <c r="J132" s="27" t="s">
        <v>94</v>
      </c>
      <c r="K132" s="41">
        <v>3.2500553745847784</v>
      </c>
      <c r="L132" s="39">
        <v>45612.95781895706</v>
      </c>
      <c r="M132" s="39">
        <v>38727</v>
      </c>
      <c r="N132" s="41">
        <v>3.2268703417039801</v>
      </c>
      <c r="O132" s="39">
        <v>45497.505976618864</v>
      </c>
      <c r="P132" s="39">
        <v>37428</v>
      </c>
      <c r="Q132" s="41">
        <v>3.3304130946298254</v>
      </c>
      <c r="R132" s="39">
        <v>45795.760313556159</v>
      </c>
      <c r="S132" s="39">
        <v>36656</v>
      </c>
      <c r="T132" s="41">
        <v>3.4228458226619467</v>
      </c>
      <c r="U132" s="39">
        <v>46989.787109017292</v>
      </c>
      <c r="V132" s="39">
        <v>36716</v>
      </c>
      <c r="W132" s="41">
        <v>3.5063498955341248</v>
      </c>
      <c r="X132" s="42"/>
      <c r="Y132" s="42"/>
      <c r="Z132" s="42"/>
      <c r="AA132" s="42"/>
      <c r="AB132" s="42"/>
      <c r="AC132" s="42"/>
      <c r="AD132" s="42"/>
      <c r="AE132" s="42"/>
      <c r="AF132" s="42"/>
      <c r="AG132" s="42"/>
      <c r="AH132" s="42"/>
      <c r="AI132" s="42"/>
      <c r="AJ132" s="42"/>
      <c r="AK132" s="39"/>
      <c r="AL132" s="39"/>
      <c r="AM132" s="39"/>
      <c r="AN132" s="39"/>
      <c r="AO132" s="39">
        <v>202.67</v>
      </c>
      <c r="AP132" s="39"/>
      <c r="AQ132" s="39"/>
      <c r="AR132" s="39"/>
      <c r="AS132" s="42"/>
      <c r="AT132" s="42"/>
      <c r="AU132" s="42"/>
      <c r="AV132" s="42">
        <v>1</v>
      </c>
      <c r="AW132" s="42"/>
      <c r="AX132" s="42"/>
      <c r="AY132" s="42">
        <v>1</v>
      </c>
      <c r="AZ132" s="42"/>
      <c r="BA132" s="42"/>
      <c r="BB132" s="42">
        <v>1</v>
      </c>
      <c r="BC132" s="42"/>
      <c r="BD132" s="42"/>
      <c r="BE132" s="42"/>
      <c r="BF132" s="42"/>
      <c r="BG132" s="42"/>
      <c r="BH132" s="42"/>
      <c r="BI132" s="42"/>
      <c r="BJ132" s="42">
        <v>8.3000000000000004E-2</v>
      </c>
      <c r="BK132" s="42">
        <v>0.91700000000000004</v>
      </c>
      <c r="BL132" s="42"/>
      <c r="BM132" s="42"/>
      <c r="BN132" s="42"/>
      <c r="BO132" s="42"/>
      <c r="BP132" s="42"/>
      <c r="BQ132" s="42"/>
      <c r="BR132" s="42"/>
      <c r="BS132" s="42"/>
      <c r="BT132" s="42"/>
      <c r="BU132" s="42"/>
      <c r="BV132" s="42"/>
      <c r="BW132" s="39"/>
      <c r="BX132" s="39"/>
      <c r="BY132" s="39"/>
      <c r="BZ132" s="39"/>
      <c r="CA132" s="39"/>
      <c r="CB132" s="27" t="s">
        <v>95</v>
      </c>
      <c r="CC132" s="27" t="s">
        <v>95</v>
      </c>
      <c r="CD132" s="27" t="s">
        <v>96</v>
      </c>
      <c r="CE132" s="27" t="s">
        <v>686</v>
      </c>
      <c r="CF132" s="27" t="s">
        <v>96</v>
      </c>
      <c r="CG132" s="27"/>
      <c r="CH132" s="27" t="s">
        <v>95</v>
      </c>
      <c r="CI132" s="27"/>
      <c r="CJ132" s="27" t="s">
        <v>1586</v>
      </c>
      <c r="CK132" s="27"/>
      <c r="CL132" s="27" t="s">
        <v>96</v>
      </c>
      <c r="CM132" s="27" t="s">
        <v>687</v>
      </c>
      <c r="CN132" s="27" t="s">
        <v>95</v>
      </c>
      <c r="CO132" s="27"/>
      <c r="CP132" s="27"/>
      <c r="CQ132" s="27"/>
      <c r="CR132" s="43" t="s">
        <v>96</v>
      </c>
      <c r="CS132" s="43"/>
      <c r="CT132" s="43"/>
      <c r="CU132" s="43"/>
      <c r="CV132" s="43"/>
      <c r="CW132" s="43"/>
      <c r="CX132" s="43" t="s">
        <v>96</v>
      </c>
      <c r="CY132" s="43" t="s">
        <v>106</v>
      </c>
      <c r="CZ132" s="43" t="s">
        <v>198</v>
      </c>
      <c r="DA132" s="43" t="s">
        <v>197</v>
      </c>
      <c r="DB132" s="43"/>
      <c r="DC132" s="43"/>
      <c r="DD132" s="43"/>
      <c r="DE132" s="43"/>
      <c r="DF132" s="43"/>
    </row>
    <row r="133" spans="1:110" ht="14">
      <c r="A133" s="27" t="s">
        <v>688</v>
      </c>
      <c r="B133" s="47" t="s">
        <v>1712</v>
      </c>
      <c r="C133" s="27" t="s">
        <v>689</v>
      </c>
      <c r="D133" s="27" t="s">
        <v>1651</v>
      </c>
      <c r="E133" s="27" t="s">
        <v>1651</v>
      </c>
      <c r="F133" s="39">
        <v>14206359017.51</v>
      </c>
      <c r="G133" s="39">
        <v>3199569</v>
      </c>
      <c r="H133" s="40">
        <v>2019</v>
      </c>
      <c r="I133" s="39">
        <v>1612000</v>
      </c>
      <c r="J133" s="27" t="s">
        <v>94</v>
      </c>
      <c r="K133" s="41">
        <v>1.3803228985417673</v>
      </c>
      <c r="L133" s="39">
        <v>1662827.3450042224</v>
      </c>
      <c r="M133" s="39">
        <v>3362435</v>
      </c>
      <c r="N133" s="41">
        <v>1.3548786388959049</v>
      </c>
      <c r="O133" s="39">
        <v>2075425.4122055043</v>
      </c>
      <c r="P133" s="39">
        <v>3687276</v>
      </c>
      <c r="Q133" s="41">
        <v>1.5420860873287239</v>
      </c>
      <c r="R133" s="39">
        <v>2607961.0679801982</v>
      </c>
      <c r="S133" s="39">
        <v>4074235</v>
      </c>
      <c r="T133" s="41">
        <v>1.753727709958828</v>
      </c>
      <c r="U133" s="39">
        <v>3168241.8043518085</v>
      </c>
      <c r="V133" s="39">
        <v>4484156</v>
      </c>
      <c r="W133" s="41">
        <v>1.9357298302000887</v>
      </c>
      <c r="X133" s="42">
        <v>0.29199999999999998</v>
      </c>
      <c r="Y133" s="42">
        <v>4.7500000000000001E-2</v>
      </c>
      <c r="Z133" s="42">
        <v>3.3000000000000002E-2</v>
      </c>
      <c r="AA133" s="42">
        <v>0.17199999999999999</v>
      </c>
      <c r="AB133" s="42">
        <v>0.1845</v>
      </c>
      <c r="AC133" s="42"/>
      <c r="AD133" s="42"/>
      <c r="AE133" s="42"/>
      <c r="AF133" s="42">
        <v>2.5499999999999998E-2</v>
      </c>
      <c r="AG133" s="42"/>
      <c r="AH133" s="42"/>
      <c r="AI133" s="42"/>
      <c r="AJ133" s="42">
        <v>0.2455</v>
      </c>
      <c r="AK133" s="39"/>
      <c r="AL133" s="39"/>
      <c r="AM133" s="39">
        <v>193900</v>
      </c>
      <c r="AN133" s="39">
        <v>20000</v>
      </c>
      <c r="AO133" s="39"/>
      <c r="AP133" s="39"/>
      <c r="AQ133" s="39">
        <v>173700</v>
      </c>
      <c r="AR133" s="39">
        <v>69900</v>
      </c>
      <c r="AS133" s="42"/>
      <c r="AT133" s="42"/>
      <c r="AU133" s="42"/>
      <c r="AV133" s="42"/>
      <c r="AW133" s="42"/>
      <c r="AX133" s="42"/>
      <c r="AY133" s="42"/>
      <c r="AZ133" s="42">
        <v>0.88013908191038503</v>
      </c>
      <c r="BA133" s="42"/>
      <c r="BB133" s="42"/>
      <c r="BC133" s="42"/>
      <c r="BD133" s="42"/>
      <c r="BE133" s="42"/>
      <c r="BF133" s="42"/>
      <c r="BG133" s="42">
        <v>0.70297341474353103</v>
      </c>
      <c r="BH133" s="42"/>
      <c r="BI133" s="42"/>
      <c r="BJ133" s="42">
        <v>8.7413781841742894E-2</v>
      </c>
      <c r="BK133" s="42"/>
      <c r="BL133" s="42"/>
      <c r="BM133" s="42"/>
      <c r="BN133" s="42">
        <v>9.0952976367170504E-4</v>
      </c>
      <c r="BO133" s="42">
        <v>0.2087</v>
      </c>
      <c r="BP133" s="42"/>
      <c r="BQ133" s="42"/>
      <c r="BR133" s="42"/>
      <c r="BS133" s="42"/>
      <c r="BT133" s="42"/>
      <c r="BU133" s="42"/>
      <c r="BV133" s="42"/>
      <c r="BW133" s="39"/>
      <c r="BX133" s="39"/>
      <c r="BY133" s="39"/>
      <c r="BZ133" s="39"/>
      <c r="CA133" s="39"/>
      <c r="CB133" s="27" t="s">
        <v>96</v>
      </c>
      <c r="CC133" s="27" t="s">
        <v>95</v>
      </c>
      <c r="CD133" s="27" t="s">
        <v>95</v>
      </c>
      <c r="CE133" s="27"/>
      <c r="CF133" s="27" t="s">
        <v>96</v>
      </c>
      <c r="CG133" s="27" t="s">
        <v>96</v>
      </c>
      <c r="CH133" s="27" t="s">
        <v>96</v>
      </c>
      <c r="CI133" s="27"/>
      <c r="CJ133" s="27" t="s">
        <v>1552</v>
      </c>
      <c r="CK133" s="27"/>
      <c r="CL133" s="27" t="s">
        <v>96</v>
      </c>
      <c r="CM133" s="27" t="s">
        <v>690</v>
      </c>
      <c r="CN133" s="27" t="s">
        <v>95</v>
      </c>
      <c r="CO133" s="27"/>
      <c r="CP133" s="27"/>
      <c r="CQ133" s="27"/>
      <c r="CR133" s="43" t="s">
        <v>96</v>
      </c>
      <c r="CS133" s="43" t="s">
        <v>96</v>
      </c>
      <c r="CT133" s="43"/>
      <c r="CU133" s="43"/>
      <c r="CV133" s="43" t="s">
        <v>96</v>
      </c>
      <c r="CW133" s="43"/>
      <c r="CX133" s="43"/>
      <c r="CY133" s="43" t="s">
        <v>106</v>
      </c>
      <c r="CZ133" s="43" t="s">
        <v>106</v>
      </c>
      <c r="DA133" s="43" t="s">
        <v>1471</v>
      </c>
      <c r="DB133" s="43"/>
      <c r="DC133" s="43"/>
      <c r="DD133" s="43"/>
      <c r="DE133" s="43"/>
      <c r="DF133" s="43"/>
    </row>
    <row r="134" spans="1:110" ht="14">
      <c r="A134" s="27" t="s">
        <v>691</v>
      </c>
      <c r="B134" s="27" t="s">
        <v>1713</v>
      </c>
      <c r="C134" s="27" t="s">
        <v>692</v>
      </c>
      <c r="D134" s="27" t="s">
        <v>1650</v>
      </c>
      <c r="E134" s="27" t="s">
        <v>1650</v>
      </c>
      <c r="F134" s="39">
        <v>6229801580.79</v>
      </c>
      <c r="G134" s="39">
        <v>601626</v>
      </c>
      <c r="H134" s="40">
        <v>2022</v>
      </c>
      <c r="I134" s="39">
        <v>335797.6</v>
      </c>
      <c r="J134" s="27" t="s">
        <v>94</v>
      </c>
      <c r="K134" s="41">
        <v>1.5291783012328826</v>
      </c>
      <c r="L134" s="39">
        <v>335797.6</v>
      </c>
      <c r="M134" s="39">
        <v>601626</v>
      </c>
      <c r="N134" s="41">
        <v>1.5291783012328826</v>
      </c>
      <c r="O134" s="39">
        <v>392029.26935233653</v>
      </c>
      <c r="P134" s="39">
        <v>614315</v>
      </c>
      <c r="Q134" s="41">
        <v>1.7483746819565329</v>
      </c>
      <c r="R134" s="39">
        <v>397960.44818666065</v>
      </c>
      <c r="S134" s="39">
        <v>576424</v>
      </c>
      <c r="T134" s="41">
        <v>1.8914941046376852</v>
      </c>
      <c r="U134" s="39">
        <v>385878.75039120467</v>
      </c>
      <c r="V134" s="39">
        <v>535419</v>
      </c>
      <c r="W134" s="41">
        <v>1.9745321997656304</v>
      </c>
      <c r="X134" s="42">
        <v>0.32096320532690398</v>
      </c>
      <c r="Y134" s="42">
        <v>8.5217348520258807E-2</v>
      </c>
      <c r="Z134" s="42">
        <v>2.75078517716713E-2</v>
      </c>
      <c r="AA134" s="42">
        <v>0.13022460577136</v>
      </c>
      <c r="AB134" s="42">
        <v>0.17483414926156399</v>
      </c>
      <c r="AC134" s="42">
        <v>0</v>
      </c>
      <c r="AD134" s="42">
        <v>2.5605385946353702E-2</v>
      </c>
      <c r="AE134" s="42">
        <v>5.1009864941326998E-2</v>
      </c>
      <c r="AF134" s="42">
        <v>2.82048758887057E-2</v>
      </c>
      <c r="AG134" s="42">
        <v>0</v>
      </c>
      <c r="AH134" s="42">
        <v>6.3019180463644003E-3</v>
      </c>
      <c r="AI134" s="42">
        <v>0</v>
      </c>
      <c r="AJ134" s="42">
        <v>0.150130794525491</v>
      </c>
      <c r="AK134" s="39">
        <v>1021.6</v>
      </c>
      <c r="AL134" s="39">
        <v>13003.8</v>
      </c>
      <c r="AM134" s="39">
        <v>371987.20000000001</v>
      </c>
      <c r="AN134" s="39">
        <v>8000</v>
      </c>
      <c r="AO134" s="39">
        <v>343884</v>
      </c>
      <c r="AP134" s="39">
        <v>23457.4</v>
      </c>
      <c r="AQ134" s="39">
        <v>3614.9</v>
      </c>
      <c r="AR134" s="39">
        <v>570</v>
      </c>
      <c r="AS134" s="42"/>
      <c r="AT134" s="42"/>
      <c r="AU134" s="42"/>
      <c r="AV134" s="42"/>
      <c r="AW134" s="42"/>
      <c r="AX134" s="42"/>
      <c r="AY134" s="42">
        <v>0.876</v>
      </c>
      <c r="AZ134" s="42"/>
      <c r="BA134" s="42"/>
      <c r="BB134" s="42"/>
      <c r="BC134" s="42"/>
      <c r="BD134" s="42"/>
      <c r="BE134" s="42"/>
      <c r="BF134" s="42"/>
      <c r="BG134" s="42">
        <v>0.89048134947956703</v>
      </c>
      <c r="BH134" s="42"/>
      <c r="BI134" s="42"/>
      <c r="BJ134" s="42">
        <v>3.0423088193602299E-3</v>
      </c>
      <c r="BK134" s="42"/>
      <c r="BL134" s="42"/>
      <c r="BM134" s="42"/>
      <c r="BN134" s="42">
        <v>3.9027676195422502E-2</v>
      </c>
      <c r="BO134" s="42"/>
      <c r="BP134" s="42">
        <v>6.7448665505649805E-2</v>
      </c>
      <c r="BQ134" s="42"/>
      <c r="BR134" s="42"/>
      <c r="BS134" s="42"/>
      <c r="BT134" s="42"/>
      <c r="BU134" s="42"/>
      <c r="BV134" s="42"/>
      <c r="BW134" s="39">
        <v>2856</v>
      </c>
      <c r="BX134" s="39"/>
      <c r="BY134" s="39"/>
      <c r="BZ134" s="39"/>
      <c r="CA134" s="39"/>
      <c r="CB134" s="27" t="s">
        <v>96</v>
      </c>
      <c r="CC134" s="27" t="s">
        <v>96</v>
      </c>
      <c r="CD134" s="27" t="s">
        <v>96</v>
      </c>
      <c r="CE134" s="27" t="s">
        <v>693</v>
      </c>
      <c r="CF134" s="27" t="s">
        <v>96</v>
      </c>
      <c r="CG134" s="27" t="s">
        <v>96</v>
      </c>
      <c r="CH134" s="27" t="s">
        <v>96</v>
      </c>
      <c r="CI134" s="27" t="s">
        <v>694</v>
      </c>
      <c r="CJ134" s="27" t="s">
        <v>695</v>
      </c>
      <c r="CK134" s="27"/>
      <c r="CL134" s="27" t="s">
        <v>96</v>
      </c>
      <c r="CM134" s="27" t="s">
        <v>696</v>
      </c>
      <c r="CN134" s="27" t="s">
        <v>96</v>
      </c>
      <c r="CO134" s="27"/>
      <c r="CP134" s="27" t="s">
        <v>96</v>
      </c>
      <c r="CQ134" s="27" t="s">
        <v>696</v>
      </c>
      <c r="CR134" s="43" t="s">
        <v>96</v>
      </c>
      <c r="CS134" s="43" t="s">
        <v>96</v>
      </c>
      <c r="CT134" s="43" t="s">
        <v>96</v>
      </c>
      <c r="CU134" s="43" t="s">
        <v>96</v>
      </c>
      <c r="CV134" s="43" t="s">
        <v>96</v>
      </c>
      <c r="CW134" s="43" t="s">
        <v>96</v>
      </c>
      <c r="CX134" s="43" t="s">
        <v>96</v>
      </c>
      <c r="CY134" s="43" t="s">
        <v>106</v>
      </c>
      <c r="CZ134" s="43" t="s">
        <v>109</v>
      </c>
      <c r="DA134" s="43" t="s">
        <v>197</v>
      </c>
      <c r="DB134" s="43"/>
      <c r="DC134" s="43"/>
      <c r="DD134" s="43"/>
      <c r="DE134" s="43"/>
      <c r="DF134" s="43"/>
    </row>
    <row r="135" spans="1:110" ht="14">
      <c r="A135" s="27" t="s">
        <v>697</v>
      </c>
      <c r="B135" t="s">
        <v>1715</v>
      </c>
      <c r="C135" s="27" t="s">
        <v>698</v>
      </c>
      <c r="D135" s="27" t="s">
        <v>1651</v>
      </c>
      <c r="E135" s="27" t="s">
        <v>1651</v>
      </c>
      <c r="F135" s="39">
        <v>142022058447</v>
      </c>
      <c r="G135" s="39">
        <v>36774483</v>
      </c>
      <c r="H135" s="40">
        <v>2021</v>
      </c>
      <c r="I135" s="39">
        <v>7433045</v>
      </c>
      <c r="J135" s="27" t="s">
        <v>94</v>
      </c>
      <c r="K135" s="41">
        <v>0.55376731874966323</v>
      </c>
      <c r="L135" s="39">
        <v>7517551.2155500166</v>
      </c>
      <c r="M135" s="39">
        <v>37134402</v>
      </c>
      <c r="N135" s="41">
        <v>0.55463477579453935</v>
      </c>
      <c r="O135" s="39">
        <v>9269386.7050127778</v>
      </c>
      <c r="P135" s="39">
        <v>39816663</v>
      </c>
      <c r="Q135" s="41">
        <v>0.63781286778687707</v>
      </c>
      <c r="R135" s="39">
        <v>11792471.590158962</v>
      </c>
      <c r="S135" s="39">
        <v>42080852</v>
      </c>
      <c r="T135" s="41">
        <v>0.76776347928747413</v>
      </c>
      <c r="U135" s="39">
        <v>14453285.197944537</v>
      </c>
      <c r="V135" s="39">
        <v>43399092</v>
      </c>
      <c r="W135" s="41">
        <v>0.91241636203366216</v>
      </c>
      <c r="X135" s="42">
        <v>0.7</v>
      </c>
      <c r="Y135" s="42">
        <v>0.02</v>
      </c>
      <c r="Z135" s="42">
        <v>0.04</v>
      </c>
      <c r="AA135" s="42">
        <v>0.1</v>
      </c>
      <c r="AB135" s="42">
        <v>0.1</v>
      </c>
      <c r="AC135" s="42"/>
      <c r="AD135" s="42"/>
      <c r="AE135" s="42"/>
      <c r="AF135" s="42"/>
      <c r="AG135" s="42"/>
      <c r="AH135" s="42"/>
      <c r="AI135" s="42"/>
      <c r="AJ135" s="42">
        <v>0.04</v>
      </c>
      <c r="AK135" s="39"/>
      <c r="AL135" s="39"/>
      <c r="AM135" s="39">
        <v>14051069</v>
      </c>
      <c r="AN135" s="39">
        <v>177000</v>
      </c>
      <c r="AO135" s="39">
        <v>289385</v>
      </c>
      <c r="AP135" s="39">
        <v>1512619</v>
      </c>
      <c r="AQ135" s="39"/>
      <c r="AR135" s="39">
        <v>22600</v>
      </c>
      <c r="AS135" s="42"/>
      <c r="AT135" s="42"/>
      <c r="AU135" s="42"/>
      <c r="AV135" s="42"/>
      <c r="AW135" s="42"/>
      <c r="AX135" s="42"/>
      <c r="AY135" s="42"/>
      <c r="AZ135" s="42">
        <v>0.96</v>
      </c>
      <c r="BA135" s="42"/>
      <c r="BB135" s="42"/>
      <c r="BC135" s="42"/>
      <c r="BD135" s="42">
        <v>0.32900000000000001</v>
      </c>
      <c r="BE135" s="42">
        <v>0.55000000000000004</v>
      </c>
      <c r="BF135" s="42"/>
      <c r="BG135" s="42"/>
      <c r="BH135" s="42"/>
      <c r="BI135" s="42"/>
      <c r="BJ135" s="42">
        <v>8.1000000000000003E-2</v>
      </c>
      <c r="BK135" s="42"/>
      <c r="BL135" s="42"/>
      <c r="BM135" s="42"/>
      <c r="BN135" s="42"/>
      <c r="BO135" s="42">
        <v>0.04</v>
      </c>
      <c r="BP135" s="42"/>
      <c r="BQ135" s="42"/>
      <c r="BR135" s="42"/>
      <c r="BS135" s="42"/>
      <c r="BT135" s="42"/>
      <c r="BU135" s="42"/>
      <c r="BV135" s="42"/>
      <c r="BW135" s="39"/>
      <c r="BX135" s="39"/>
      <c r="BY135" s="39"/>
      <c r="BZ135" s="39"/>
      <c r="CA135" s="39"/>
      <c r="CB135" s="27" t="s">
        <v>95</v>
      </c>
      <c r="CC135" s="27" t="s">
        <v>96</v>
      </c>
      <c r="CD135" s="27" t="s">
        <v>95</v>
      </c>
      <c r="CE135" s="27" t="s">
        <v>699</v>
      </c>
      <c r="CF135" s="27" t="s">
        <v>96</v>
      </c>
      <c r="CG135" s="27" t="s">
        <v>96</v>
      </c>
      <c r="CH135" s="27" t="s">
        <v>96</v>
      </c>
      <c r="CI135" s="27"/>
      <c r="CJ135" s="27" t="s">
        <v>1622</v>
      </c>
      <c r="CK135" s="27"/>
      <c r="CL135" s="27" t="s">
        <v>96</v>
      </c>
      <c r="CM135" s="27" t="s">
        <v>700</v>
      </c>
      <c r="CN135" s="27" t="s">
        <v>95</v>
      </c>
      <c r="CO135" s="27"/>
      <c r="CP135" s="27"/>
      <c r="CQ135" s="27"/>
      <c r="CR135" s="43" t="s">
        <v>96</v>
      </c>
      <c r="CS135" s="43" t="s">
        <v>96</v>
      </c>
      <c r="CT135" s="43"/>
      <c r="CU135" s="43"/>
      <c r="CV135" s="43"/>
      <c r="CW135" s="43"/>
      <c r="CX135" s="43" t="s">
        <v>96</v>
      </c>
      <c r="CY135" s="43" t="s">
        <v>106</v>
      </c>
      <c r="CZ135" s="43" t="s">
        <v>106</v>
      </c>
      <c r="DA135" s="43" t="s">
        <v>1471</v>
      </c>
      <c r="DB135" s="43"/>
      <c r="DC135" s="43"/>
      <c r="DD135" s="43"/>
      <c r="DE135" s="43"/>
      <c r="DF135" s="43"/>
    </row>
    <row r="136" spans="1:110" ht="14">
      <c r="A136" s="27" t="s">
        <v>701</v>
      </c>
      <c r="B136" s="33" t="s">
        <v>1693</v>
      </c>
      <c r="C136" s="27" t="s">
        <v>702</v>
      </c>
      <c r="D136" s="27" t="s">
        <v>93</v>
      </c>
      <c r="E136" s="27" t="s">
        <v>93</v>
      </c>
      <c r="F136" s="39">
        <v>20954220984</v>
      </c>
      <c r="G136" s="39">
        <v>33140625.999999996</v>
      </c>
      <c r="H136" s="40">
        <v>2023</v>
      </c>
      <c r="I136" s="39">
        <v>4200000</v>
      </c>
      <c r="J136" s="27" t="s">
        <v>94</v>
      </c>
      <c r="K136" s="41">
        <v>0.34721279299517444</v>
      </c>
      <c r="L136" s="39">
        <v>3997445.4482931616</v>
      </c>
      <c r="M136" s="39">
        <v>32171866</v>
      </c>
      <c r="N136" s="41">
        <v>0.34041871670699747</v>
      </c>
      <c r="O136" s="39">
        <v>5158733.4310175683</v>
      </c>
      <c r="P136" s="39">
        <v>40308772</v>
      </c>
      <c r="Q136" s="41">
        <v>0.35063127820820739</v>
      </c>
      <c r="R136" s="39">
        <v>6794983.2966609998</v>
      </c>
      <c r="S136" s="39">
        <v>51547505</v>
      </c>
      <c r="T136" s="41">
        <v>0.36115021655445362</v>
      </c>
      <c r="U136" s="39">
        <v>8549979.0119991582</v>
      </c>
      <c r="V136" s="39">
        <v>62971941</v>
      </c>
      <c r="W136" s="41">
        <v>0.37198472305108726</v>
      </c>
      <c r="X136" s="42">
        <v>0.6</v>
      </c>
      <c r="Y136" s="42"/>
      <c r="Z136" s="42"/>
      <c r="AA136" s="42">
        <v>0.25</v>
      </c>
      <c r="AB136" s="42"/>
      <c r="AC136" s="42"/>
      <c r="AD136" s="42"/>
      <c r="AE136" s="42"/>
      <c r="AF136" s="42"/>
      <c r="AG136" s="42"/>
      <c r="AH136" s="42"/>
      <c r="AI136" s="42"/>
      <c r="AJ136" s="42">
        <v>0.15</v>
      </c>
      <c r="AK136" s="39"/>
      <c r="AL136" s="39"/>
      <c r="AM136" s="39"/>
      <c r="AN136" s="39">
        <v>20000</v>
      </c>
      <c r="AO136" s="39"/>
      <c r="AP136" s="39"/>
      <c r="AQ136" s="39"/>
      <c r="AR136" s="39"/>
      <c r="AS136" s="42"/>
      <c r="AT136" s="42"/>
      <c r="AU136" s="42"/>
      <c r="AV136" s="42"/>
      <c r="AW136" s="42"/>
      <c r="AX136" s="42"/>
      <c r="AY136" s="42"/>
      <c r="AZ136" s="42">
        <v>0.25</v>
      </c>
      <c r="BA136" s="42"/>
      <c r="BB136" s="42"/>
      <c r="BC136" s="42"/>
      <c r="BD136" s="42">
        <v>0.98499999999999999</v>
      </c>
      <c r="BE136" s="42"/>
      <c r="BF136" s="42"/>
      <c r="BG136" s="42"/>
      <c r="BH136" s="42"/>
      <c r="BI136" s="42"/>
      <c r="BJ136" s="42">
        <v>1.4999999999999999E-2</v>
      </c>
      <c r="BK136" s="42"/>
      <c r="BL136" s="42"/>
      <c r="BM136" s="42"/>
      <c r="BN136" s="42"/>
      <c r="BO136" s="42"/>
      <c r="BP136" s="42"/>
      <c r="BQ136" s="42"/>
      <c r="BR136" s="42"/>
      <c r="BS136" s="42"/>
      <c r="BT136" s="42"/>
      <c r="BU136" s="42"/>
      <c r="BV136" s="42"/>
      <c r="BW136" s="39"/>
      <c r="BX136" s="39"/>
      <c r="BY136" s="39"/>
      <c r="BZ136" s="39"/>
      <c r="CA136" s="39"/>
      <c r="CB136" s="27" t="s">
        <v>95</v>
      </c>
      <c r="CC136" s="27" t="s">
        <v>96</v>
      </c>
      <c r="CD136" s="27" t="s">
        <v>96</v>
      </c>
      <c r="CE136" s="27" t="s">
        <v>703</v>
      </c>
      <c r="CF136" s="27" t="s">
        <v>96</v>
      </c>
      <c r="CG136" s="27" t="s">
        <v>96</v>
      </c>
      <c r="CH136" s="27" t="s">
        <v>95</v>
      </c>
      <c r="CI136" s="27" t="s">
        <v>95</v>
      </c>
      <c r="CJ136" s="27" t="s">
        <v>704</v>
      </c>
      <c r="CK136" s="27"/>
      <c r="CL136" s="27" t="s">
        <v>96</v>
      </c>
      <c r="CM136" s="27" t="s">
        <v>705</v>
      </c>
      <c r="CN136" s="27" t="s">
        <v>96</v>
      </c>
      <c r="CO136" s="27"/>
      <c r="CP136" s="27"/>
      <c r="CQ136" s="27"/>
      <c r="CR136" s="43" t="s">
        <v>96</v>
      </c>
      <c r="CS136" s="43" t="s">
        <v>96</v>
      </c>
      <c r="CT136" s="43"/>
      <c r="CU136" s="43"/>
      <c r="CV136" s="43"/>
      <c r="CW136" s="43"/>
      <c r="CX136" s="43"/>
      <c r="CY136" s="43" t="s">
        <v>106</v>
      </c>
      <c r="CZ136" s="43" t="s">
        <v>198</v>
      </c>
      <c r="DA136" s="43" t="s">
        <v>1470</v>
      </c>
      <c r="DB136" s="43"/>
      <c r="DC136" s="43"/>
      <c r="DD136" s="43"/>
      <c r="DE136" s="43"/>
      <c r="DF136" s="43"/>
    </row>
    <row r="137" spans="1:110" ht="14">
      <c r="A137" s="27" t="s">
        <v>706</v>
      </c>
      <c r="B137" s="47" t="s">
        <v>1712</v>
      </c>
      <c r="C137" s="27" t="s">
        <v>707</v>
      </c>
      <c r="D137" s="27" t="s">
        <v>1651</v>
      </c>
      <c r="E137" s="27" t="s">
        <v>1651</v>
      </c>
      <c r="F137" s="39">
        <v>75065106227.690002</v>
      </c>
      <c r="G137" s="39">
        <v>52456126</v>
      </c>
      <c r="H137" s="40">
        <v>2019</v>
      </c>
      <c r="I137" s="39">
        <v>7475200</v>
      </c>
      <c r="J137" s="27" t="s">
        <v>94</v>
      </c>
      <c r="K137" s="41">
        <v>0.390421511493243</v>
      </c>
      <c r="L137" s="39">
        <v>6487191.7315389784</v>
      </c>
      <c r="M137" s="39">
        <v>53566461</v>
      </c>
      <c r="N137" s="41">
        <v>0.33179582335322921</v>
      </c>
      <c r="O137" s="39">
        <v>7258857.4971575979</v>
      </c>
      <c r="P137" s="39">
        <v>56221653</v>
      </c>
      <c r="Q137" s="41">
        <v>0.35372991993192382</v>
      </c>
      <c r="R137" s="39">
        <v>9536283.8067707438</v>
      </c>
      <c r="S137" s="39">
        <v>58114558</v>
      </c>
      <c r="T137" s="41">
        <v>0.44957418328909654</v>
      </c>
      <c r="U137" s="39">
        <v>12011262.066351894</v>
      </c>
      <c r="V137" s="39">
        <v>58630433</v>
      </c>
      <c r="W137" s="41">
        <v>0.56127109457086366</v>
      </c>
      <c r="X137" s="42">
        <v>0.182</v>
      </c>
      <c r="Y137" s="42">
        <v>2.9000000000000001E-2</v>
      </c>
      <c r="Z137" s="42">
        <v>8.9999999999999993E-3</v>
      </c>
      <c r="AA137" s="42">
        <v>5.3999999999999999E-2</v>
      </c>
      <c r="AB137" s="42">
        <v>0.105</v>
      </c>
      <c r="AC137" s="42">
        <v>3.9E-2</v>
      </c>
      <c r="AD137" s="42"/>
      <c r="AE137" s="42">
        <v>0.54100000000000004</v>
      </c>
      <c r="AF137" s="42"/>
      <c r="AG137" s="42"/>
      <c r="AH137" s="42">
        <v>3.0000000000000001E-3</v>
      </c>
      <c r="AI137" s="42"/>
      <c r="AJ137" s="42">
        <v>3.7999999999999902E-2</v>
      </c>
      <c r="AK137" s="39"/>
      <c r="AL137" s="39"/>
      <c r="AM137" s="39"/>
      <c r="AN137" s="39">
        <v>76000</v>
      </c>
      <c r="AO137" s="39"/>
      <c r="AP137" s="39"/>
      <c r="AQ137" s="39"/>
      <c r="AR137" s="39"/>
      <c r="AS137" s="42"/>
      <c r="AT137" s="42"/>
      <c r="AU137" s="42"/>
      <c r="AV137" s="42"/>
      <c r="AW137" s="42"/>
      <c r="AX137" s="42"/>
      <c r="AY137" s="42"/>
      <c r="AZ137" s="42">
        <v>0.83</v>
      </c>
      <c r="BA137" s="42"/>
      <c r="BB137" s="42"/>
      <c r="BC137" s="42">
        <v>0.87</v>
      </c>
      <c r="BD137" s="42">
        <v>0.18</v>
      </c>
      <c r="BE137" s="42">
        <v>0.3</v>
      </c>
      <c r="BF137" s="42">
        <v>0.03</v>
      </c>
      <c r="BG137" s="42"/>
      <c r="BH137" s="42"/>
      <c r="BI137" s="42"/>
      <c r="BJ137" s="42">
        <v>0.11</v>
      </c>
      <c r="BK137" s="42"/>
      <c r="BL137" s="42"/>
      <c r="BM137" s="42"/>
      <c r="BN137" s="42"/>
      <c r="BO137" s="42">
        <f>17%+21%</f>
        <v>0.38</v>
      </c>
      <c r="BP137" s="42"/>
      <c r="BQ137" s="42"/>
      <c r="BR137" s="42">
        <v>0.21</v>
      </c>
      <c r="BS137" s="42"/>
      <c r="BT137" s="42"/>
      <c r="BU137" s="42"/>
      <c r="BV137" s="42"/>
      <c r="BW137" s="39"/>
      <c r="BX137" s="39"/>
      <c r="BY137" s="39"/>
      <c r="BZ137" s="39"/>
      <c r="CA137" s="39"/>
      <c r="CB137" s="27" t="s">
        <v>95</v>
      </c>
      <c r="CC137" s="27" t="s">
        <v>96</v>
      </c>
      <c r="CD137" s="27" t="s">
        <v>96</v>
      </c>
      <c r="CE137" s="27" t="s">
        <v>708</v>
      </c>
      <c r="CF137" s="27" t="s">
        <v>96</v>
      </c>
      <c r="CG137" s="27" t="s">
        <v>96</v>
      </c>
      <c r="CH137" s="27" t="s">
        <v>95</v>
      </c>
      <c r="CI137" s="27" t="s">
        <v>183</v>
      </c>
      <c r="CJ137" s="27" t="s">
        <v>1553</v>
      </c>
      <c r="CK137" s="27" t="s">
        <v>709</v>
      </c>
      <c r="CL137" s="27"/>
      <c r="CM137" s="27"/>
      <c r="CN137" s="27" t="s">
        <v>95</v>
      </c>
      <c r="CO137" s="27" t="s">
        <v>710</v>
      </c>
      <c r="CP137" s="27"/>
      <c r="CQ137" s="27"/>
      <c r="CR137" s="43" t="s">
        <v>96</v>
      </c>
      <c r="CS137" s="43"/>
      <c r="CT137" s="43"/>
      <c r="CU137" s="43"/>
      <c r="CV137" s="43"/>
      <c r="CW137" s="43"/>
      <c r="CX137" s="43" t="s">
        <v>96</v>
      </c>
      <c r="CY137" s="43" t="s">
        <v>106</v>
      </c>
      <c r="CZ137" s="43" t="s">
        <v>198</v>
      </c>
      <c r="DA137" s="43" t="s">
        <v>1471</v>
      </c>
      <c r="DB137" s="43"/>
      <c r="DC137" s="43"/>
      <c r="DD137" s="43"/>
      <c r="DE137" s="43"/>
      <c r="DF137" s="43"/>
    </row>
    <row r="138" spans="1:110" ht="14">
      <c r="A138" s="27" t="s">
        <v>711</v>
      </c>
      <c r="B138" s="33" t="s">
        <v>1693</v>
      </c>
      <c r="C138" s="27" t="s">
        <v>712</v>
      </c>
      <c r="D138" s="27"/>
      <c r="E138" s="27" t="s">
        <v>1650</v>
      </c>
      <c r="F138" s="44"/>
      <c r="G138" s="39">
        <v>2851288</v>
      </c>
      <c r="H138" s="40" t="s">
        <v>123</v>
      </c>
      <c r="I138" s="39" t="s">
        <v>1620</v>
      </c>
      <c r="J138" s="27"/>
      <c r="K138" s="39" t="s">
        <v>1620</v>
      </c>
      <c r="L138" s="39">
        <v>740296.82323420735</v>
      </c>
      <c r="M138" s="39">
        <v>2851288</v>
      </c>
      <c r="N138" s="41">
        <v>0.71133132626878337</v>
      </c>
      <c r="O138" s="39">
        <v>942409.84011714614</v>
      </c>
      <c r="P138" s="39">
        <v>3360126</v>
      </c>
      <c r="Q138" s="41">
        <v>0.76840712742445849</v>
      </c>
      <c r="R138" s="39">
        <v>1266172.2884392387</v>
      </c>
      <c r="S138" s="39">
        <v>3935017</v>
      </c>
      <c r="T138" s="41">
        <v>0.88156294465973928</v>
      </c>
      <c r="U138" s="39">
        <v>1670303.2645471147</v>
      </c>
      <c r="V138" s="39">
        <v>4485659</v>
      </c>
      <c r="W138" s="41">
        <v>1.0201786019682595</v>
      </c>
      <c r="X138" s="42"/>
      <c r="Y138" s="42"/>
      <c r="Z138" s="42"/>
      <c r="AA138" s="42"/>
      <c r="AB138" s="42"/>
      <c r="AC138" s="42"/>
      <c r="AD138" s="42"/>
      <c r="AE138" s="42"/>
      <c r="AF138" s="42"/>
      <c r="AG138" s="42"/>
      <c r="AH138" s="42"/>
      <c r="AI138" s="42"/>
      <c r="AJ138" s="42"/>
      <c r="AK138" s="39"/>
      <c r="AL138" s="39"/>
      <c r="AM138" s="39"/>
      <c r="AN138" s="39">
        <v>17000</v>
      </c>
      <c r="AO138" s="39"/>
      <c r="AP138" s="39"/>
      <c r="AQ138" s="39"/>
      <c r="AR138" s="39"/>
      <c r="AS138" s="42"/>
      <c r="AT138" s="42"/>
      <c r="AU138" s="42">
        <v>5.5E-2</v>
      </c>
      <c r="AV138" s="42"/>
      <c r="AW138" s="42"/>
      <c r="AX138" s="42">
        <v>0.39900000000000002</v>
      </c>
      <c r="AY138" s="42"/>
      <c r="AZ138" s="42"/>
      <c r="BA138" s="42">
        <v>0.67800000000000005</v>
      </c>
      <c r="BB138" s="42"/>
      <c r="BC138" s="42"/>
      <c r="BD138" s="42"/>
      <c r="BE138" s="42"/>
      <c r="BF138" s="42"/>
      <c r="BG138" s="42"/>
      <c r="BH138" s="42"/>
      <c r="BI138" s="42"/>
      <c r="BJ138" s="42"/>
      <c r="BK138" s="42"/>
      <c r="BL138" s="42"/>
      <c r="BM138" s="42"/>
      <c r="BN138" s="42"/>
      <c r="BO138" s="42"/>
      <c r="BP138" s="42"/>
      <c r="BQ138" s="42">
        <v>0.19301164725457601</v>
      </c>
      <c r="BR138" s="42">
        <v>0.534109816971714</v>
      </c>
      <c r="BS138" s="42">
        <v>0.26622296173044901</v>
      </c>
      <c r="BT138" s="42"/>
      <c r="BU138" s="42"/>
      <c r="BV138" s="42">
        <v>8.3194675540765404E-3</v>
      </c>
      <c r="BW138" s="39"/>
      <c r="BX138" s="39"/>
      <c r="BY138" s="39"/>
      <c r="BZ138" s="39"/>
      <c r="CA138" s="39"/>
      <c r="CB138" s="27" t="s">
        <v>95</v>
      </c>
      <c r="CC138" s="27" t="s">
        <v>96</v>
      </c>
      <c r="CD138" s="27" t="s">
        <v>96</v>
      </c>
      <c r="CE138" s="27" t="s">
        <v>713</v>
      </c>
      <c r="CF138" s="27" t="s">
        <v>96</v>
      </c>
      <c r="CG138" s="27" t="s">
        <v>96</v>
      </c>
      <c r="CH138" s="27" t="s">
        <v>95</v>
      </c>
      <c r="CI138" s="27" t="s">
        <v>714</v>
      </c>
      <c r="CJ138" s="27" t="s">
        <v>715</v>
      </c>
      <c r="CK138" s="27" t="s">
        <v>95</v>
      </c>
      <c r="CL138" s="27" t="s">
        <v>96</v>
      </c>
      <c r="CM138" s="27" t="s">
        <v>716</v>
      </c>
      <c r="CN138" s="27" t="s">
        <v>95</v>
      </c>
      <c r="CO138" s="27"/>
      <c r="CP138" s="27" t="s">
        <v>95</v>
      </c>
      <c r="CQ138" s="27"/>
      <c r="CR138" s="43" t="s">
        <v>96</v>
      </c>
      <c r="CS138" s="43"/>
      <c r="CT138" s="43"/>
      <c r="CU138" s="43"/>
      <c r="CV138" s="43" t="s">
        <v>96</v>
      </c>
      <c r="CW138" s="43"/>
      <c r="CX138" s="43"/>
      <c r="CY138" s="43" t="s">
        <v>106</v>
      </c>
      <c r="CZ138" s="43" t="s">
        <v>198</v>
      </c>
      <c r="DA138" s="43" t="s">
        <v>1471</v>
      </c>
      <c r="DB138" s="43"/>
      <c r="DC138" s="43"/>
      <c r="DD138" s="43"/>
      <c r="DE138" s="43"/>
      <c r="DF138" s="43"/>
    </row>
    <row r="139" spans="1:110" ht="14">
      <c r="A139" s="27" t="s">
        <v>717</v>
      </c>
      <c r="B139" s="47" t="s">
        <v>1712</v>
      </c>
      <c r="C139" s="27" t="s">
        <v>718</v>
      </c>
      <c r="D139" s="27" t="s">
        <v>122</v>
      </c>
      <c r="E139" s="27" t="s">
        <v>122</v>
      </c>
      <c r="F139" s="39">
        <v>124530027</v>
      </c>
      <c r="G139" s="39">
        <v>11626</v>
      </c>
      <c r="H139" s="40">
        <v>2020</v>
      </c>
      <c r="I139" s="39">
        <v>569.67399999999998</v>
      </c>
      <c r="J139" s="27" t="s">
        <v>152</v>
      </c>
      <c r="K139" s="41">
        <v>0.13424657534246573</v>
      </c>
      <c r="L139" s="39">
        <v>603.02364384316502</v>
      </c>
      <c r="M139" s="39">
        <v>11757</v>
      </c>
      <c r="N139" s="41">
        <v>0.14052220567942969</v>
      </c>
      <c r="O139" s="39">
        <v>752.16482741854054</v>
      </c>
      <c r="P139" s="39">
        <v>12461</v>
      </c>
      <c r="Q139" s="41">
        <v>0.16537401128090393</v>
      </c>
      <c r="R139" s="39">
        <v>953.43037575318886</v>
      </c>
      <c r="S139" s="39">
        <v>13947</v>
      </c>
      <c r="T139" s="41">
        <v>0.1872903144591784</v>
      </c>
      <c r="U139" s="39">
        <v>1177.8036837643426</v>
      </c>
      <c r="V139" s="39">
        <v>15683</v>
      </c>
      <c r="W139" s="41">
        <v>0.20575523863887915</v>
      </c>
      <c r="X139" s="42">
        <v>0.12479999999999999</v>
      </c>
      <c r="Y139" s="42">
        <v>8.7900000000000006E-2</v>
      </c>
      <c r="Z139" s="42">
        <v>8.14E-2</v>
      </c>
      <c r="AA139" s="42">
        <v>0.127</v>
      </c>
      <c r="AB139" s="42">
        <v>0.12870000000000001</v>
      </c>
      <c r="AC139" s="42"/>
      <c r="AD139" s="42"/>
      <c r="AE139" s="42"/>
      <c r="AF139" s="42"/>
      <c r="AG139" s="42"/>
      <c r="AH139" s="42">
        <v>1.83E-2</v>
      </c>
      <c r="AI139" s="42">
        <v>0.1391</v>
      </c>
      <c r="AJ139" s="42">
        <v>0.2928</v>
      </c>
      <c r="AK139" s="39"/>
      <c r="AL139" s="39"/>
      <c r="AM139" s="39"/>
      <c r="AN139" s="39">
        <v>79.808400000000006</v>
      </c>
      <c r="AO139" s="39"/>
      <c r="AP139" s="39"/>
      <c r="AQ139" s="39"/>
      <c r="AR139" s="39"/>
      <c r="AS139" s="42"/>
      <c r="AT139" s="42"/>
      <c r="AU139" s="42"/>
      <c r="AV139" s="42"/>
      <c r="AW139" s="42"/>
      <c r="AX139" s="42">
        <v>0.86</v>
      </c>
      <c r="AY139" s="42">
        <v>1</v>
      </c>
      <c r="AZ139" s="42">
        <v>0.86</v>
      </c>
      <c r="BA139" s="42"/>
      <c r="BB139" s="42">
        <v>1</v>
      </c>
      <c r="BC139" s="42"/>
      <c r="BD139" s="42"/>
      <c r="BE139" s="42"/>
      <c r="BF139" s="42"/>
      <c r="BG139" s="42"/>
      <c r="BH139" s="42"/>
      <c r="BI139" s="42"/>
      <c r="BJ139" s="42"/>
      <c r="BK139" s="42"/>
      <c r="BL139" s="42"/>
      <c r="BM139" s="42"/>
      <c r="BN139" s="42"/>
      <c r="BO139" s="42">
        <v>0.14000000000000001</v>
      </c>
      <c r="BP139" s="42">
        <v>0.86</v>
      </c>
      <c r="BQ139" s="42"/>
      <c r="BR139" s="42"/>
      <c r="BS139" s="42"/>
      <c r="BT139" s="42"/>
      <c r="BU139" s="42"/>
      <c r="BV139" s="42"/>
      <c r="BW139" s="39"/>
      <c r="BX139" s="39"/>
      <c r="BY139" s="39"/>
      <c r="BZ139" s="39"/>
      <c r="CA139" s="39"/>
      <c r="CB139" s="27" t="s">
        <v>95</v>
      </c>
      <c r="CC139" s="27" t="s">
        <v>95</v>
      </c>
      <c r="CD139" s="27" t="s">
        <v>96</v>
      </c>
      <c r="CE139" s="27" t="s">
        <v>719</v>
      </c>
      <c r="CF139" s="27" t="s">
        <v>96</v>
      </c>
      <c r="CG139" s="27"/>
      <c r="CH139" s="27" t="s">
        <v>95</v>
      </c>
      <c r="CI139" s="27" t="s">
        <v>95</v>
      </c>
      <c r="CJ139" s="27" t="s">
        <v>720</v>
      </c>
      <c r="CK139" s="27"/>
      <c r="CL139" s="27" t="s">
        <v>96</v>
      </c>
      <c r="CM139" s="27" t="s">
        <v>721</v>
      </c>
      <c r="CN139" s="27"/>
      <c r="CO139" s="27"/>
      <c r="CP139" s="27"/>
      <c r="CQ139" s="27"/>
      <c r="CR139" s="43"/>
      <c r="CS139" s="43"/>
      <c r="CT139" s="43"/>
      <c r="CU139" s="43"/>
      <c r="CV139" s="43"/>
      <c r="CW139" s="43"/>
      <c r="CX139" s="43"/>
      <c r="CY139" s="43"/>
      <c r="CZ139" s="43"/>
      <c r="DA139" s="43"/>
      <c r="DB139" s="43"/>
      <c r="DC139" s="43"/>
      <c r="DD139" s="43"/>
      <c r="DE139" s="43"/>
      <c r="DF139" s="43"/>
    </row>
    <row r="140" spans="1:110" ht="14">
      <c r="A140" s="27" t="s">
        <v>722</v>
      </c>
      <c r="B140" s="27" t="s">
        <v>1717</v>
      </c>
      <c r="C140" s="27" t="s">
        <v>723</v>
      </c>
      <c r="D140" s="27" t="s">
        <v>1651</v>
      </c>
      <c r="E140" s="27" t="s">
        <v>1651</v>
      </c>
      <c r="F140" s="39">
        <v>33433659301.25</v>
      </c>
      <c r="G140" s="39">
        <v>28698722</v>
      </c>
      <c r="H140" s="40">
        <v>2020</v>
      </c>
      <c r="I140" s="39">
        <v>1788500</v>
      </c>
      <c r="J140" s="27" t="s">
        <v>94</v>
      </c>
      <c r="K140" s="41">
        <v>0.17073931027311948</v>
      </c>
      <c r="L140" s="39">
        <v>1950375.8471775074</v>
      </c>
      <c r="M140" s="39">
        <v>29715593</v>
      </c>
      <c r="N140" s="41">
        <v>0.17982126325795342</v>
      </c>
      <c r="O140" s="39">
        <v>2053305.7963368457</v>
      </c>
      <c r="P140" s="39">
        <v>30372637</v>
      </c>
      <c r="Q140" s="41">
        <v>0.18521590115569203</v>
      </c>
      <c r="R140" s="39">
        <v>2284379.7280580341</v>
      </c>
      <c r="S140" s="39">
        <v>32806502.999999996</v>
      </c>
      <c r="T140" s="41">
        <v>0.1907723781903628</v>
      </c>
      <c r="U140" s="39">
        <v>2479601.7433604882</v>
      </c>
      <c r="V140" s="39">
        <v>34572943</v>
      </c>
      <c r="W140" s="41">
        <v>0.19649554953607368</v>
      </c>
      <c r="X140" s="42">
        <v>0.56000000000000005</v>
      </c>
      <c r="Y140" s="42">
        <v>0.03</v>
      </c>
      <c r="Z140" s="42">
        <v>0.02</v>
      </c>
      <c r="AA140" s="42">
        <v>0.16</v>
      </c>
      <c r="AB140" s="42">
        <v>0.16</v>
      </c>
      <c r="AC140" s="42">
        <v>0.01</v>
      </c>
      <c r="AD140" s="42"/>
      <c r="AE140" s="42"/>
      <c r="AF140" s="42">
        <v>0.02</v>
      </c>
      <c r="AG140" s="42"/>
      <c r="AH140" s="42"/>
      <c r="AI140" s="42"/>
      <c r="AJ140" s="42">
        <v>0.04</v>
      </c>
      <c r="AK140" s="39"/>
      <c r="AL140" s="39"/>
      <c r="AM140" s="39"/>
      <c r="AN140" s="39">
        <v>42000</v>
      </c>
      <c r="AO140" s="39"/>
      <c r="AP140" s="39"/>
      <c r="AQ140" s="39"/>
      <c r="AR140" s="39"/>
      <c r="AS140" s="42"/>
      <c r="AT140" s="42"/>
      <c r="AU140" s="42"/>
      <c r="AV140" s="42"/>
      <c r="AW140" s="42">
        <v>0.5</v>
      </c>
      <c r="AX140" s="42"/>
      <c r="AY140" s="42"/>
      <c r="AZ140" s="42">
        <v>0.623</v>
      </c>
      <c r="BA140" s="42"/>
      <c r="BB140" s="42"/>
      <c r="BC140" s="42">
        <v>0.8</v>
      </c>
      <c r="BD140" s="42"/>
      <c r="BE140" s="42"/>
      <c r="BF140" s="42"/>
      <c r="BG140" s="42">
        <v>0.23050999999999999</v>
      </c>
      <c r="BH140" s="42"/>
      <c r="BI140" s="42"/>
      <c r="BJ140" s="42"/>
      <c r="BK140" s="42"/>
      <c r="BL140" s="42"/>
      <c r="BM140" s="42"/>
      <c r="BN140" s="42"/>
      <c r="BO140" s="42">
        <v>0.377</v>
      </c>
      <c r="BP140" s="42">
        <v>0.39249000000000001</v>
      </c>
      <c r="BQ140" s="42"/>
      <c r="BR140" s="42"/>
      <c r="BS140" s="42"/>
      <c r="BT140" s="42"/>
      <c r="BU140" s="42"/>
      <c r="BV140" s="42"/>
      <c r="BW140" s="39">
        <v>3992.72</v>
      </c>
      <c r="BX140" s="39">
        <v>511.2</v>
      </c>
      <c r="BY140" s="39"/>
      <c r="BZ140" s="39"/>
      <c r="CA140" s="39"/>
      <c r="CB140" s="27" t="s">
        <v>96</v>
      </c>
      <c r="CC140" s="27" t="s">
        <v>96</v>
      </c>
      <c r="CD140" s="27" t="s">
        <v>96</v>
      </c>
      <c r="CE140" s="27" t="s">
        <v>724</v>
      </c>
      <c r="CF140" s="27" t="s">
        <v>96</v>
      </c>
      <c r="CG140" s="27" t="s">
        <v>96</v>
      </c>
      <c r="CH140" s="27" t="s">
        <v>96</v>
      </c>
      <c r="CI140" s="27" t="s">
        <v>725</v>
      </c>
      <c r="CJ140" s="27" t="s">
        <v>123</v>
      </c>
      <c r="CK140" s="27"/>
      <c r="CL140" s="27"/>
      <c r="CM140" s="27"/>
      <c r="CN140" s="27"/>
      <c r="CO140" s="27"/>
      <c r="CP140" s="27" t="s">
        <v>96</v>
      </c>
      <c r="CQ140" s="43" t="s">
        <v>726</v>
      </c>
      <c r="CR140" s="43"/>
      <c r="CS140" s="43"/>
      <c r="CT140" s="43"/>
      <c r="CU140" s="43"/>
      <c r="CV140" s="43"/>
      <c r="CW140" s="43"/>
      <c r="CX140" s="43"/>
      <c r="CY140" s="43"/>
      <c r="CZ140" s="43"/>
      <c r="DA140" s="43"/>
      <c r="DB140" s="43"/>
      <c r="DC140" s="43"/>
      <c r="DD140" s="43"/>
      <c r="DE140" s="43"/>
      <c r="DF140" s="43"/>
    </row>
    <row r="141" spans="1:110" ht="14">
      <c r="A141" s="27" t="s">
        <v>727</v>
      </c>
      <c r="B141" s="27" t="s">
        <v>1713</v>
      </c>
      <c r="C141" s="27" t="s">
        <v>728</v>
      </c>
      <c r="D141" s="27" t="s">
        <v>122</v>
      </c>
      <c r="E141" s="27" t="s">
        <v>122</v>
      </c>
      <c r="F141" s="39">
        <v>1046540797549</v>
      </c>
      <c r="G141" s="39">
        <v>17789347</v>
      </c>
      <c r="H141" s="40">
        <v>2022</v>
      </c>
      <c r="I141" s="39">
        <v>8370000</v>
      </c>
      <c r="J141" s="27" t="s">
        <v>94</v>
      </c>
      <c r="K141" s="41">
        <v>1.2890583813624563</v>
      </c>
      <c r="L141" s="39">
        <v>8370000</v>
      </c>
      <c r="M141" s="39">
        <v>17789347</v>
      </c>
      <c r="N141" s="41">
        <v>1.2890583813624563</v>
      </c>
      <c r="O141" s="39">
        <v>9056910.5057212133</v>
      </c>
      <c r="P141" s="39">
        <v>18727022</v>
      </c>
      <c r="Q141" s="41">
        <v>1.3250079719205805</v>
      </c>
      <c r="R141" s="39">
        <v>9459455.6668582149</v>
      </c>
      <c r="S141" s="39">
        <v>19060114</v>
      </c>
      <c r="T141" s="41">
        <v>1.3597146845764909</v>
      </c>
      <c r="U141" s="39">
        <v>9607508.5850974619</v>
      </c>
      <c r="V141" s="39">
        <v>18969162</v>
      </c>
      <c r="W141" s="41">
        <v>1.3876175093572474</v>
      </c>
      <c r="X141" s="42">
        <v>0.30599999999999999</v>
      </c>
      <c r="Y141" s="42">
        <v>4.4999999999999998E-2</v>
      </c>
      <c r="Z141" s="42">
        <v>3.6999999999999998E-2</v>
      </c>
      <c r="AA141" s="42">
        <v>0.2</v>
      </c>
      <c r="AB141" s="42">
        <v>0.125</v>
      </c>
      <c r="AC141" s="42"/>
      <c r="AD141" s="42">
        <v>0.02</v>
      </c>
      <c r="AE141" s="42">
        <v>3.3000000000000002E-2</v>
      </c>
      <c r="AF141" s="42">
        <v>3.7999999999999999E-2</v>
      </c>
      <c r="AG141" s="42">
        <v>1.0999999999999999E-2</v>
      </c>
      <c r="AH141" s="42">
        <v>1.4E-3</v>
      </c>
      <c r="AI141" s="42">
        <v>6.3E-2</v>
      </c>
      <c r="AJ141" s="42">
        <v>0.124</v>
      </c>
      <c r="AK141" s="39">
        <v>2354000</v>
      </c>
      <c r="AL141" s="39">
        <v>4896548</v>
      </c>
      <c r="AM141" s="39">
        <v>81866038</v>
      </c>
      <c r="AN141" s="39">
        <v>387000</v>
      </c>
      <c r="AO141" s="39">
        <v>5021596</v>
      </c>
      <c r="AP141" s="39">
        <v>13241725</v>
      </c>
      <c r="AQ141" s="39">
        <v>71639</v>
      </c>
      <c r="AR141" s="39">
        <v>29173</v>
      </c>
      <c r="AS141" s="42"/>
      <c r="AT141" s="42"/>
      <c r="AU141" s="42"/>
      <c r="AV141" s="42"/>
      <c r="AW141" s="42"/>
      <c r="AX141" s="42"/>
      <c r="AY141" s="42"/>
      <c r="AZ141" s="42"/>
      <c r="BA141" s="42"/>
      <c r="BB141" s="42"/>
      <c r="BC141" s="42"/>
      <c r="BD141" s="42"/>
      <c r="BE141" s="42"/>
      <c r="BF141" s="42">
        <v>1.40979689366786E-2</v>
      </c>
      <c r="BG141" s="42"/>
      <c r="BH141" s="42"/>
      <c r="BI141" s="42">
        <v>0.29414575866188802</v>
      </c>
      <c r="BJ141" s="42">
        <v>0.28124253285543599</v>
      </c>
      <c r="BK141" s="42">
        <v>0.41051373954599801</v>
      </c>
      <c r="BL141" s="42"/>
      <c r="BM141" s="42"/>
      <c r="BN141" s="42"/>
      <c r="BO141" s="42"/>
      <c r="BP141" s="42"/>
      <c r="BQ141" s="42"/>
      <c r="BR141" s="42"/>
      <c r="BS141" s="42"/>
      <c r="BT141" s="42"/>
      <c r="BU141" s="42"/>
      <c r="BV141" s="42"/>
      <c r="BW141" s="39">
        <v>24565</v>
      </c>
      <c r="BX141" s="39"/>
      <c r="BY141" s="39"/>
      <c r="BZ141" s="39"/>
      <c r="CA141" s="39"/>
      <c r="CB141" s="27" t="s">
        <v>96</v>
      </c>
      <c r="CC141" s="27" t="s">
        <v>96</v>
      </c>
      <c r="CD141" s="27" t="s">
        <v>96</v>
      </c>
      <c r="CE141" s="27" t="s">
        <v>729</v>
      </c>
      <c r="CF141" s="27" t="s">
        <v>96</v>
      </c>
      <c r="CG141" s="27"/>
      <c r="CH141" s="27" t="s">
        <v>96</v>
      </c>
      <c r="CI141" s="27"/>
      <c r="CJ141" s="27" t="s">
        <v>1594</v>
      </c>
      <c r="CK141" s="27"/>
      <c r="CL141" s="27" t="s">
        <v>96</v>
      </c>
      <c r="CM141" s="27" t="s">
        <v>730</v>
      </c>
      <c r="CN141" s="27" t="s">
        <v>96</v>
      </c>
      <c r="CO141" s="27"/>
      <c r="CP141" s="27" t="s">
        <v>96</v>
      </c>
      <c r="CQ141" s="27"/>
      <c r="CR141" s="43" t="s">
        <v>96</v>
      </c>
      <c r="CS141" s="43" t="s">
        <v>96</v>
      </c>
      <c r="CT141" s="43"/>
      <c r="CU141" s="43" t="s">
        <v>96</v>
      </c>
      <c r="CV141" s="43" t="s">
        <v>96</v>
      </c>
      <c r="CW141" s="43" t="s">
        <v>96</v>
      </c>
      <c r="CX141" s="43" t="s">
        <v>96</v>
      </c>
      <c r="CY141" s="43" t="s">
        <v>1723</v>
      </c>
      <c r="CZ141" s="43" t="s">
        <v>109</v>
      </c>
      <c r="DA141" s="43" t="s">
        <v>1470</v>
      </c>
      <c r="DB141" s="43" t="s">
        <v>96</v>
      </c>
      <c r="DC141" s="43" t="s">
        <v>168</v>
      </c>
      <c r="DD141" s="43" t="s">
        <v>1435</v>
      </c>
      <c r="DE141" s="43" t="s">
        <v>109</v>
      </c>
      <c r="DF141" s="43" t="s">
        <v>1470</v>
      </c>
    </row>
    <row r="142" spans="1:110" ht="14">
      <c r="A142" s="27" t="s">
        <v>731</v>
      </c>
      <c r="B142" s="47" t="s">
        <v>1712</v>
      </c>
      <c r="C142" s="27" t="s">
        <v>732</v>
      </c>
      <c r="D142" s="27" t="s">
        <v>122</v>
      </c>
      <c r="E142" s="27" t="s">
        <v>122</v>
      </c>
      <c r="F142" s="39">
        <v>9623318718.3099995</v>
      </c>
      <c r="G142" s="39">
        <v>288470</v>
      </c>
      <c r="H142" s="40">
        <v>2023</v>
      </c>
      <c r="I142" s="39">
        <v>112661.95850000001</v>
      </c>
      <c r="J142" s="27" t="s">
        <v>152</v>
      </c>
      <c r="K142" s="41">
        <v>1.07</v>
      </c>
      <c r="L142" s="39">
        <v>111072.4302725195</v>
      </c>
      <c r="M142" s="39">
        <v>285776</v>
      </c>
      <c r="N142" s="41">
        <v>1.0648480913158873</v>
      </c>
      <c r="O142" s="39">
        <v>122807.0935981301</v>
      </c>
      <c r="P142" s="39">
        <v>306437</v>
      </c>
      <c r="Q142" s="41">
        <v>1.0979672516041095</v>
      </c>
      <c r="R142" s="39">
        <v>133751.47863687307</v>
      </c>
      <c r="S142" s="39">
        <v>326687</v>
      </c>
      <c r="T142" s="41">
        <v>1.1216926514501946</v>
      </c>
      <c r="U142" s="39">
        <v>141541.82459996713</v>
      </c>
      <c r="V142" s="39">
        <v>340136</v>
      </c>
      <c r="W142" s="41">
        <v>1.140090495630653</v>
      </c>
      <c r="X142" s="42"/>
      <c r="Y142" s="42"/>
      <c r="Z142" s="42"/>
      <c r="AA142" s="42"/>
      <c r="AB142" s="42"/>
      <c r="AC142" s="42"/>
      <c r="AD142" s="42"/>
      <c r="AE142" s="42"/>
      <c r="AF142" s="42"/>
      <c r="AG142" s="42"/>
      <c r="AH142" s="42"/>
      <c r="AI142" s="42"/>
      <c r="AJ142" s="42"/>
      <c r="AK142" s="39"/>
      <c r="AL142" s="39"/>
      <c r="AM142" s="39"/>
      <c r="AN142" s="39"/>
      <c r="AO142" s="39"/>
      <c r="AP142" s="39"/>
      <c r="AQ142" s="39"/>
      <c r="AR142" s="39">
        <v>324</v>
      </c>
      <c r="AS142" s="42"/>
      <c r="AT142" s="42"/>
      <c r="AU142" s="42"/>
      <c r="AV142" s="42"/>
      <c r="AW142" s="42"/>
      <c r="AX142" s="42"/>
      <c r="AY142" s="42">
        <v>0.67</v>
      </c>
      <c r="AZ142" s="42"/>
      <c r="BA142" s="42"/>
      <c r="BB142" s="42">
        <v>0.75</v>
      </c>
      <c r="BC142" s="42"/>
      <c r="BD142" s="42"/>
      <c r="BE142" s="42"/>
      <c r="BF142" s="42"/>
      <c r="BG142" s="42"/>
      <c r="BH142" s="42"/>
      <c r="BI142" s="42"/>
      <c r="BJ142" s="42"/>
      <c r="BK142" s="42"/>
      <c r="BL142" s="42"/>
      <c r="BM142" s="42"/>
      <c r="BN142" s="42"/>
      <c r="BO142" s="42"/>
      <c r="BP142" s="42"/>
      <c r="BQ142" s="42"/>
      <c r="BR142" s="42"/>
      <c r="BS142" s="42"/>
      <c r="BT142" s="42"/>
      <c r="BU142" s="42"/>
      <c r="BV142" s="42"/>
      <c r="BW142" s="39"/>
      <c r="BX142" s="39"/>
      <c r="BY142" s="39"/>
      <c r="BZ142" s="39"/>
      <c r="CA142" s="39"/>
      <c r="CB142" s="27" t="s">
        <v>95</v>
      </c>
      <c r="CC142" s="27" t="s">
        <v>96</v>
      </c>
      <c r="CD142" s="27" t="s">
        <v>95</v>
      </c>
      <c r="CE142" s="27" t="s">
        <v>733</v>
      </c>
      <c r="CF142" s="27" t="s">
        <v>96</v>
      </c>
      <c r="CG142" s="27"/>
      <c r="CH142" s="27" t="s">
        <v>96</v>
      </c>
      <c r="CI142" s="27"/>
      <c r="CJ142" s="27" t="s">
        <v>123</v>
      </c>
      <c r="CK142" s="27"/>
      <c r="CL142" s="27" t="s">
        <v>96</v>
      </c>
      <c r="CM142" s="27" t="s">
        <v>734</v>
      </c>
      <c r="CN142" s="27"/>
      <c r="CO142" s="27"/>
      <c r="CP142" s="27"/>
      <c r="CQ142" s="27"/>
      <c r="CR142" s="43"/>
      <c r="CS142" s="43"/>
      <c r="CT142" s="43"/>
      <c r="CU142" s="43"/>
      <c r="CV142" s="43"/>
      <c r="CW142" s="43"/>
      <c r="CX142" s="43"/>
      <c r="CY142" s="43"/>
      <c r="CZ142" s="43"/>
      <c r="DA142" s="43"/>
      <c r="DB142" s="43"/>
      <c r="DC142" s="43"/>
      <c r="DD142" s="43"/>
      <c r="DE142" s="43"/>
      <c r="DF142" s="43"/>
    </row>
    <row r="143" spans="1:110" ht="14">
      <c r="A143" s="27" t="s">
        <v>735</v>
      </c>
      <c r="B143" s="47" t="s">
        <v>1712</v>
      </c>
      <c r="C143" s="27" t="s">
        <v>736</v>
      </c>
      <c r="D143" s="27" t="s">
        <v>122</v>
      </c>
      <c r="E143" s="27" t="s">
        <v>122</v>
      </c>
      <c r="F143" s="39">
        <v>249509991440</v>
      </c>
      <c r="G143" s="39">
        <v>5112112</v>
      </c>
      <c r="H143" s="40">
        <v>2022</v>
      </c>
      <c r="I143" s="39">
        <v>3601300</v>
      </c>
      <c r="J143" s="27" t="s">
        <v>94</v>
      </c>
      <c r="K143" s="41">
        <v>1.9300389628524872</v>
      </c>
      <c r="L143" s="39">
        <v>3601300.0000000005</v>
      </c>
      <c r="M143" s="39">
        <v>5112112</v>
      </c>
      <c r="N143" s="41">
        <v>1.9300389628524872</v>
      </c>
      <c r="O143" s="39">
        <v>3941444.4341398003</v>
      </c>
      <c r="P143" s="39">
        <v>5394543</v>
      </c>
      <c r="Q143" s="41">
        <v>2.0017410004430176</v>
      </c>
      <c r="R143" s="39">
        <v>4277400.7137676906</v>
      </c>
      <c r="S143" s="39">
        <v>5608263</v>
      </c>
      <c r="T143" s="41">
        <v>2.0895785495646262</v>
      </c>
      <c r="U143" s="39">
        <v>4534129.4654886164</v>
      </c>
      <c r="V143" s="39">
        <v>5749747</v>
      </c>
      <c r="W143" s="41">
        <v>2.1604902803876396</v>
      </c>
      <c r="X143" s="42">
        <v>9.01E-2</v>
      </c>
      <c r="Y143" s="42">
        <v>1.7600000000000001E-2</v>
      </c>
      <c r="Z143" s="42">
        <v>3.5099999999999999E-2</v>
      </c>
      <c r="AA143" s="42">
        <v>5.8900000000000001E-2</v>
      </c>
      <c r="AB143" s="42">
        <v>8.3199999999999996E-2</v>
      </c>
      <c r="AC143" s="42">
        <v>2.1000000000000001E-2</v>
      </c>
      <c r="AD143" s="42">
        <v>0.12620000000000001</v>
      </c>
      <c r="AE143" s="42">
        <v>5.74E-2</v>
      </c>
      <c r="AF143" s="42">
        <v>5.0200000000000002E-2</v>
      </c>
      <c r="AG143" s="42"/>
      <c r="AH143" s="42">
        <v>0.23469999999999999</v>
      </c>
      <c r="AI143" s="42">
        <v>2.47E-2</v>
      </c>
      <c r="AJ143" s="42">
        <v>0.20080000000000001</v>
      </c>
      <c r="AK143" s="39"/>
      <c r="AL143" s="39">
        <v>132.53</v>
      </c>
      <c r="AM143" s="39">
        <v>3500000</v>
      </c>
      <c r="AN143" s="39">
        <v>101000</v>
      </c>
      <c r="AO143" s="39"/>
      <c r="AP143" s="39">
        <v>1750000</v>
      </c>
      <c r="AQ143" s="39"/>
      <c r="AR143" s="39"/>
      <c r="AS143" s="42"/>
      <c r="AT143" s="42"/>
      <c r="AU143" s="42"/>
      <c r="AV143" s="42"/>
      <c r="AW143" s="42"/>
      <c r="AX143" s="42"/>
      <c r="AY143" s="42"/>
      <c r="AZ143" s="42">
        <v>1</v>
      </c>
      <c r="BA143" s="42"/>
      <c r="BB143" s="42"/>
      <c r="BC143" s="42"/>
      <c r="BD143" s="42"/>
      <c r="BE143" s="42"/>
      <c r="BF143" s="42"/>
      <c r="BG143" s="42">
        <v>0.90800000000000003</v>
      </c>
      <c r="BH143" s="42"/>
      <c r="BI143" s="42"/>
      <c r="BJ143" s="42">
        <v>9.1999999999999998E-2</v>
      </c>
      <c r="BK143" s="42"/>
      <c r="BL143" s="42"/>
      <c r="BM143" s="42"/>
      <c r="BN143" s="42"/>
      <c r="BO143" s="42"/>
      <c r="BP143" s="42"/>
      <c r="BQ143" s="42"/>
      <c r="BR143" s="42"/>
      <c r="BS143" s="42"/>
      <c r="BT143" s="42"/>
      <c r="BU143" s="42"/>
      <c r="BV143" s="42"/>
      <c r="BW143" s="39">
        <v>7302.5</v>
      </c>
      <c r="BX143" s="39"/>
      <c r="BY143" s="39"/>
      <c r="BZ143" s="39"/>
      <c r="CA143" s="39"/>
      <c r="CB143" s="27" t="s">
        <v>96</v>
      </c>
      <c r="CC143" s="27" t="s">
        <v>96</v>
      </c>
      <c r="CD143" s="27" t="s">
        <v>96</v>
      </c>
      <c r="CE143" s="27" t="s">
        <v>737</v>
      </c>
      <c r="CF143" s="27" t="s">
        <v>96</v>
      </c>
      <c r="CG143" s="27" t="s">
        <v>96</v>
      </c>
      <c r="CH143" s="27" t="s">
        <v>96</v>
      </c>
      <c r="CI143" s="27"/>
      <c r="CJ143" s="27" t="s">
        <v>1554</v>
      </c>
      <c r="CK143" s="27"/>
      <c r="CL143" s="27" t="s">
        <v>96</v>
      </c>
      <c r="CM143" s="27" t="s">
        <v>738</v>
      </c>
      <c r="CN143" s="27" t="s">
        <v>96</v>
      </c>
      <c r="CO143" s="27"/>
      <c r="CP143" s="27" t="s">
        <v>96</v>
      </c>
      <c r="CQ143" s="43" t="s">
        <v>739</v>
      </c>
      <c r="CR143" s="43" t="s">
        <v>96</v>
      </c>
      <c r="CS143" s="43" t="s">
        <v>96</v>
      </c>
      <c r="CT143" s="43" t="s">
        <v>96</v>
      </c>
      <c r="CU143" s="43"/>
      <c r="CV143" s="43" t="s">
        <v>96</v>
      </c>
      <c r="CW143" s="43" t="s">
        <v>96</v>
      </c>
      <c r="CX143" s="43" t="s">
        <v>96</v>
      </c>
      <c r="CY143" s="43" t="s">
        <v>1723</v>
      </c>
      <c r="CZ143" s="43" t="s">
        <v>109</v>
      </c>
      <c r="DA143" s="43" t="s">
        <v>1470</v>
      </c>
      <c r="DB143" s="43"/>
      <c r="DC143" s="43"/>
      <c r="DD143" s="43"/>
      <c r="DE143" s="43"/>
      <c r="DF143" s="43"/>
    </row>
    <row r="144" spans="1:110" ht="14">
      <c r="A144" s="27" t="s">
        <v>740</v>
      </c>
      <c r="B144" s="27" t="s">
        <v>1714</v>
      </c>
      <c r="C144" s="27" t="s">
        <v>741</v>
      </c>
      <c r="D144" s="27" t="s">
        <v>1651</v>
      </c>
      <c r="E144" s="27" t="s">
        <v>1651</v>
      </c>
      <c r="F144" s="39">
        <v>14209020362</v>
      </c>
      <c r="G144" s="39">
        <v>6605331</v>
      </c>
      <c r="H144" s="40">
        <v>2021</v>
      </c>
      <c r="I144" s="39">
        <v>1518162.4076979901</v>
      </c>
      <c r="J144" s="27" t="s">
        <v>94</v>
      </c>
      <c r="K144" s="41">
        <v>0.62969578090579781</v>
      </c>
      <c r="L144" s="39">
        <v>1563208.7738412532</v>
      </c>
      <c r="M144" s="39">
        <v>6684151</v>
      </c>
      <c r="N144" s="41">
        <v>0.64073414319165434</v>
      </c>
      <c r="O144" s="39">
        <v>2030345.2689722551</v>
      </c>
      <c r="P144" s="39">
        <v>7400217</v>
      </c>
      <c r="Q144" s="41">
        <v>0.7516792788652249</v>
      </c>
      <c r="R144" s="39">
        <v>2792458.4316476518</v>
      </c>
      <c r="S144" s="39">
        <v>8156812</v>
      </c>
      <c r="T144" s="41">
        <v>0.93793641996530086</v>
      </c>
      <c r="U144" s="39">
        <v>3774332.6229458717</v>
      </c>
      <c r="V144" s="39">
        <v>8733084</v>
      </c>
      <c r="W144" s="41">
        <v>1.1840762465057446</v>
      </c>
      <c r="X144" s="42"/>
      <c r="Y144" s="42"/>
      <c r="Z144" s="42"/>
      <c r="AA144" s="42"/>
      <c r="AB144" s="42"/>
      <c r="AC144" s="42"/>
      <c r="AD144" s="42"/>
      <c r="AE144" s="42"/>
      <c r="AF144" s="42"/>
      <c r="AG144" s="42"/>
      <c r="AH144" s="42"/>
      <c r="AI144" s="42"/>
      <c r="AJ144" s="42"/>
      <c r="AK144" s="39"/>
      <c r="AL144" s="39"/>
      <c r="AM144" s="39"/>
      <c r="AN144" s="39">
        <v>21000</v>
      </c>
      <c r="AO144" s="39"/>
      <c r="AP144" s="39"/>
      <c r="AQ144" s="39"/>
      <c r="AR144" s="39"/>
      <c r="AS144" s="42"/>
      <c r="AT144" s="42"/>
      <c r="AU144" s="42"/>
      <c r="AV144" s="42"/>
      <c r="AW144" s="42"/>
      <c r="AX144" s="42">
        <v>0.56200000000000006</v>
      </c>
      <c r="AY144" s="42"/>
      <c r="AZ144" s="42">
        <v>0.58130000000000004</v>
      </c>
      <c r="BA144" s="42"/>
      <c r="BB144" s="42"/>
      <c r="BC144" s="42"/>
      <c r="BD144" s="42"/>
      <c r="BE144" s="42"/>
      <c r="BF144" s="42"/>
      <c r="BG144" s="42"/>
      <c r="BH144" s="42"/>
      <c r="BI144" s="42"/>
      <c r="BJ144" s="42"/>
      <c r="BK144" s="42"/>
      <c r="BL144" s="42"/>
      <c r="BM144" s="42"/>
      <c r="BN144" s="42"/>
      <c r="BO144" s="42">
        <v>0.42</v>
      </c>
      <c r="BP144" s="42">
        <v>0.57999999999999996</v>
      </c>
      <c r="BQ144" s="42"/>
      <c r="BR144" s="42">
        <v>0.73744292237442899</v>
      </c>
      <c r="BS144" s="42">
        <v>0.111872146118721</v>
      </c>
      <c r="BT144" s="42">
        <v>0.100456621004566</v>
      </c>
      <c r="BU144" s="42"/>
      <c r="BV144" s="42">
        <v>5.0228310502283102E-2</v>
      </c>
      <c r="BW144" s="39"/>
      <c r="BX144" s="39"/>
      <c r="BY144" s="39"/>
      <c r="BZ144" s="39"/>
      <c r="CA144" s="39"/>
      <c r="CB144" s="27" t="s">
        <v>95</v>
      </c>
      <c r="CC144" s="27" t="s">
        <v>95</v>
      </c>
      <c r="CD144" s="27" t="s">
        <v>96</v>
      </c>
      <c r="CE144" s="27" t="s">
        <v>742</v>
      </c>
      <c r="CF144" s="27" t="s">
        <v>96</v>
      </c>
      <c r="CG144" s="27" t="s">
        <v>95</v>
      </c>
      <c r="CH144" s="27" t="s">
        <v>95</v>
      </c>
      <c r="CI144" s="27"/>
      <c r="CJ144" s="27" t="s">
        <v>1609</v>
      </c>
      <c r="CK144" s="27"/>
      <c r="CL144" s="27" t="s">
        <v>95</v>
      </c>
      <c r="CM144" s="27"/>
      <c r="CN144" s="27" t="s">
        <v>95</v>
      </c>
      <c r="CO144" s="27"/>
      <c r="CP144" s="27" t="s">
        <v>96</v>
      </c>
      <c r="CQ144" s="27" t="s">
        <v>1610</v>
      </c>
      <c r="CR144" s="43"/>
      <c r="CS144" s="43"/>
      <c r="CT144" s="43"/>
      <c r="CU144" s="43"/>
      <c r="CV144" s="43"/>
      <c r="CW144" s="43"/>
      <c r="CX144" s="43"/>
      <c r="CY144" s="43"/>
      <c r="CZ144" s="43"/>
      <c r="DA144" s="43"/>
      <c r="DB144" s="43"/>
      <c r="DC144" s="43"/>
      <c r="DD144" s="43"/>
      <c r="DE144" s="43"/>
      <c r="DF144" s="43"/>
    </row>
    <row r="145" spans="1:110" ht="14">
      <c r="A145" s="27" t="s">
        <v>743</v>
      </c>
      <c r="B145" s="33" t="s">
        <v>1693</v>
      </c>
      <c r="C145" s="27" t="s">
        <v>744</v>
      </c>
      <c r="D145" s="27" t="s">
        <v>93</v>
      </c>
      <c r="E145" s="27" t="s">
        <v>93</v>
      </c>
      <c r="F145" s="39">
        <v>12889555561.23</v>
      </c>
      <c r="G145" s="39">
        <v>22567917</v>
      </c>
      <c r="H145" s="40">
        <v>2019</v>
      </c>
      <c r="I145" s="39">
        <v>1606695</v>
      </c>
      <c r="J145" s="27" t="s">
        <v>94</v>
      </c>
      <c r="K145" s="41">
        <v>0.19505141345517363</v>
      </c>
      <c r="L145" s="39">
        <v>1856516.9794370863</v>
      </c>
      <c r="M145" s="39">
        <v>24896651</v>
      </c>
      <c r="N145" s="41">
        <v>0.20429847728791833</v>
      </c>
      <c r="O145" s="39">
        <v>2836326.4891259857</v>
      </c>
      <c r="P145" s="39">
        <v>32043977</v>
      </c>
      <c r="Q145" s="41">
        <v>0.24250290481904777</v>
      </c>
      <c r="R145" s="39">
        <v>3812354.2565211831</v>
      </c>
      <c r="S145" s="39">
        <v>41816359</v>
      </c>
      <c r="T145" s="41">
        <v>0.24977799196361922</v>
      </c>
      <c r="U145" s="39">
        <v>4882818.9691882301</v>
      </c>
      <c r="V145" s="39">
        <v>51997967</v>
      </c>
      <c r="W145" s="41">
        <v>0.25727133172252781</v>
      </c>
      <c r="X145" s="42">
        <v>0.65</v>
      </c>
      <c r="Y145" s="42"/>
      <c r="Z145" s="42"/>
      <c r="AA145" s="42"/>
      <c r="AB145" s="42"/>
      <c r="AC145" s="42"/>
      <c r="AD145" s="42"/>
      <c r="AE145" s="42"/>
      <c r="AF145" s="42"/>
      <c r="AG145" s="42"/>
      <c r="AH145" s="42"/>
      <c r="AI145" s="42"/>
      <c r="AJ145" s="42">
        <v>0.35</v>
      </c>
      <c r="AK145" s="39"/>
      <c r="AL145" s="39"/>
      <c r="AM145" s="39"/>
      <c r="AN145" s="39">
        <v>14000</v>
      </c>
      <c r="AO145" s="39">
        <v>554000</v>
      </c>
      <c r="AP145" s="39"/>
      <c r="AQ145" s="39"/>
      <c r="AR145" s="39"/>
      <c r="AS145" s="42"/>
      <c r="AT145" s="42"/>
      <c r="AU145" s="42"/>
      <c r="AV145" s="42"/>
      <c r="AW145" s="42"/>
      <c r="AX145" s="42"/>
      <c r="AY145" s="42"/>
      <c r="AZ145" s="42"/>
      <c r="BA145" s="42"/>
      <c r="BB145" s="42"/>
      <c r="BC145" s="42"/>
      <c r="BD145" s="42"/>
      <c r="BE145" s="42"/>
      <c r="BF145" s="42"/>
      <c r="BG145" s="42"/>
      <c r="BH145" s="42"/>
      <c r="BI145" s="42"/>
      <c r="BJ145" s="42"/>
      <c r="BK145" s="42"/>
      <c r="BL145" s="42"/>
      <c r="BM145" s="42"/>
      <c r="BN145" s="42"/>
      <c r="BO145" s="42"/>
      <c r="BP145" s="42"/>
      <c r="BQ145" s="42"/>
      <c r="BR145" s="42"/>
      <c r="BS145" s="42"/>
      <c r="BT145" s="42"/>
      <c r="BU145" s="42"/>
      <c r="BV145" s="42"/>
      <c r="BW145" s="39"/>
      <c r="BX145" s="39"/>
      <c r="BY145" s="39"/>
      <c r="BZ145" s="39"/>
      <c r="CA145" s="39"/>
      <c r="CB145" s="27" t="s">
        <v>95</v>
      </c>
      <c r="CC145" s="27" t="s">
        <v>96</v>
      </c>
      <c r="CD145" s="27" t="s">
        <v>95</v>
      </c>
      <c r="CE145" s="27" t="s">
        <v>745</v>
      </c>
      <c r="CF145" s="27" t="s">
        <v>96</v>
      </c>
      <c r="CG145" s="27" t="s">
        <v>96</v>
      </c>
      <c r="CH145" s="27"/>
      <c r="CI145" s="27"/>
      <c r="CJ145" s="27" t="s">
        <v>1643</v>
      </c>
      <c r="CK145" s="27"/>
      <c r="CL145" s="27" t="s">
        <v>96</v>
      </c>
      <c r="CM145" s="27" t="s">
        <v>746</v>
      </c>
      <c r="CN145" s="27" t="s">
        <v>95</v>
      </c>
      <c r="CO145" s="27"/>
      <c r="CP145" s="27" t="s">
        <v>95</v>
      </c>
      <c r="CQ145" s="27"/>
      <c r="CR145" s="43"/>
      <c r="CS145" s="43"/>
      <c r="CT145" s="43"/>
      <c r="CU145" s="43"/>
      <c r="CV145" s="43"/>
      <c r="CW145" s="43"/>
      <c r="CX145" s="43"/>
      <c r="CY145" s="43"/>
      <c r="CZ145" s="43"/>
      <c r="DA145" s="43"/>
      <c r="DB145" s="43"/>
      <c r="DC145" s="43"/>
      <c r="DD145" s="43"/>
      <c r="DE145" s="43"/>
      <c r="DF145" s="43"/>
    </row>
    <row r="146" spans="1:110" ht="14">
      <c r="A146" s="27" t="s">
        <v>747</v>
      </c>
      <c r="B146" s="33" t="s">
        <v>1693</v>
      </c>
      <c r="C146" s="27" t="s">
        <v>748</v>
      </c>
      <c r="D146" s="27" t="s">
        <v>1651</v>
      </c>
      <c r="E146" s="27" t="s">
        <v>1651</v>
      </c>
      <c r="F146" s="39">
        <v>440833635874</v>
      </c>
      <c r="G146" s="39">
        <v>216251531</v>
      </c>
      <c r="H146" s="40">
        <v>2021</v>
      </c>
      <c r="I146" s="39">
        <v>44500000</v>
      </c>
      <c r="J146" s="27" t="s">
        <v>94</v>
      </c>
      <c r="K146" s="41">
        <v>0.56377778069547213</v>
      </c>
      <c r="L146" s="39">
        <v>45737275.033020802</v>
      </c>
      <c r="M146" s="39">
        <v>220807042</v>
      </c>
      <c r="N146" s="41">
        <v>0.5674982178792739</v>
      </c>
      <c r="O146" s="39">
        <v>57316753.928412057</v>
      </c>
      <c r="P146" s="39">
        <v>259865631</v>
      </c>
      <c r="Q146" s="41">
        <v>0.60428230520254789</v>
      </c>
      <c r="R146" s="39">
        <v>82516989.357280776</v>
      </c>
      <c r="S146" s="39">
        <v>310248009</v>
      </c>
      <c r="T146" s="41">
        <v>0.72868781389860549</v>
      </c>
      <c r="U146" s="39">
        <v>113768450.45343542</v>
      </c>
      <c r="V146" s="39">
        <v>357001017</v>
      </c>
      <c r="W146" s="41">
        <v>0.87309102764806035</v>
      </c>
      <c r="X146" s="42">
        <v>0.49780000000000002</v>
      </c>
      <c r="Y146" s="42">
        <v>3.7499999999999999E-2</v>
      </c>
      <c r="Z146" s="42">
        <v>5.4800000000000001E-2</v>
      </c>
      <c r="AA146" s="42">
        <v>0.12790000000000001</v>
      </c>
      <c r="AB146" s="42">
        <v>8.4000000000000005E-2</v>
      </c>
      <c r="AC146" s="42"/>
      <c r="AD146" s="42"/>
      <c r="AE146" s="42"/>
      <c r="AF146" s="42">
        <v>3.0099999999999998E-2</v>
      </c>
      <c r="AG146" s="42"/>
      <c r="AH146" s="42"/>
      <c r="AI146" s="42"/>
      <c r="AJ146" s="42">
        <v>0.15029999999999999</v>
      </c>
      <c r="AK146" s="39"/>
      <c r="AL146" s="39"/>
      <c r="AM146" s="39"/>
      <c r="AN146" s="39">
        <v>497000</v>
      </c>
      <c r="AO146" s="39"/>
      <c r="AP146" s="39"/>
      <c r="AQ146" s="39"/>
      <c r="AR146" s="39"/>
      <c r="AS146" s="42"/>
      <c r="AT146" s="42"/>
      <c r="AU146" s="42"/>
      <c r="AV146" s="42"/>
      <c r="AW146" s="42"/>
      <c r="AX146" s="42">
        <v>0.11700000000000001</v>
      </c>
      <c r="AY146" s="42"/>
      <c r="AZ146" s="42">
        <v>0.2</v>
      </c>
      <c r="BA146" s="42"/>
      <c r="BB146" s="42"/>
      <c r="BC146" s="42"/>
      <c r="BD146" s="42"/>
      <c r="BE146" s="42"/>
      <c r="BF146" s="42"/>
      <c r="BG146" s="42"/>
      <c r="BH146" s="42"/>
      <c r="BI146" s="42"/>
      <c r="BJ146" s="42"/>
      <c r="BK146" s="42"/>
      <c r="BL146" s="42"/>
      <c r="BM146" s="42"/>
      <c r="BN146" s="42"/>
      <c r="BO146" s="42"/>
      <c r="BP146" s="42"/>
      <c r="BQ146" s="42">
        <v>0.99660249150622904</v>
      </c>
      <c r="BR146" s="42"/>
      <c r="BS146" s="42"/>
      <c r="BT146" s="42"/>
      <c r="BU146" s="42"/>
      <c r="BV146" s="42">
        <v>4.5300113250283103E-3</v>
      </c>
      <c r="BW146" s="39"/>
      <c r="BX146" s="39"/>
      <c r="BY146" s="39"/>
      <c r="BZ146" s="39"/>
      <c r="CA146" s="39"/>
      <c r="CB146" s="27" t="s">
        <v>95</v>
      </c>
      <c r="CC146" s="27" t="s">
        <v>96</v>
      </c>
      <c r="CD146" s="27" t="s">
        <v>96</v>
      </c>
      <c r="CE146" s="27" t="s">
        <v>749</v>
      </c>
      <c r="CF146" s="27" t="s">
        <v>96</v>
      </c>
      <c r="CG146" s="27" t="s">
        <v>95</v>
      </c>
      <c r="CH146" s="27" t="s">
        <v>95</v>
      </c>
      <c r="CI146" s="27"/>
      <c r="CJ146" s="27" t="s">
        <v>1644</v>
      </c>
      <c r="CK146" s="27" t="s">
        <v>750</v>
      </c>
      <c r="CL146" s="27"/>
      <c r="CM146" s="27"/>
      <c r="CN146" s="27" t="s">
        <v>96</v>
      </c>
      <c r="CO146" s="27"/>
      <c r="CP146" s="27"/>
      <c r="CQ146" s="27"/>
      <c r="CR146" s="43" t="s">
        <v>96</v>
      </c>
      <c r="CS146" s="43" t="s">
        <v>96</v>
      </c>
      <c r="CT146" s="43"/>
      <c r="CU146" s="43"/>
      <c r="CV146" s="43" t="s">
        <v>96</v>
      </c>
      <c r="CW146" s="43" t="s">
        <v>96</v>
      </c>
      <c r="CX146" s="43"/>
      <c r="CY146" s="43" t="s">
        <v>1723</v>
      </c>
      <c r="CZ146" s="43" t="s">
        <v>109</v>
      </c>
      <c r="DA146" s="43" t="s">
        <v>1470</v>
      </c>
      <c r="DB146" s="43"/>
      <c r="DC146" s="43"/>
      <c r="DD146" s="43"/>
      <c r="DE146" s="43"/>
      <c r="DF146" s="43"/>
    </row>
    <row r="147" spans="1:110" ht="14">
      <c r="A147" s="27" t="s">
        <v>751</v>
      </c>
      <c r="B147" s="27" t="s">
        <v>1713</v>
      </c>
      <c r="C147" s="27" t="s">
        <v>752</v>
      </c>
      <c r="D147" s="27" t="s">
        <v>1650</v>
      </c>
      <c r="E147" s="27" t="s">
        <v>1650</v>
      </c>
      <c r="F147" s="39">
        <v>15763604288</v>
      </c>
      <c r="G147" s="39">
        <v>1836091</v>
      </c>
      <c r="H147" s="40">
        <v>2023</v>
      </c>
      <c r="I147" s="39">
        <v>878303</v>
      </c>
      <c r="J147" s="27" t="s">
        <v>94</v>
      </c>
      <c r="K147" s="41">
        <v>1.3105611808135302</v>
      </c>
      <c r="L147" s="39">
        <v>873082.76976942772</v>
      </c>
      <c r="M147" s="39">
        <v>1844375</v>
      </c>
      <c r="N147" s="41">
        <v>1.2969204139122417</v>
      </c>
      <c r="O147" s="39">
        <v>940451.65914294613</v>
      </c>
      <c r="P147" s="39">
        <v>1768213</v>
      </c>
      <c r="Q147" s="41">
        <v>1.4571660134061146</v>
      </c>
      <c r="R147" s="39">
        <v>971369.38942477282</v>
      </c>
      <c r="S147" s="39">
        <v>1648290</v>
      </c>
      <c r="T147" s="41">
        <v>1.6145738907740965</v>
      </c>
      <c r="U147" s="39">
        <v>967846.29702193488</v>
      </c>
      <c r="V147" s="39">
        <v>1519251</v>
      </c>
      <c r="W147" s="41">
        <v>1.7453558960771161</v>
      </c>
      <c r="X147" s="42">
        <v>0.45300000000000001</v>
      </c>
      <c r="Y147" s="42">
        <v>4.1000000000000002E-2</v>
      </c>
      <c r="Z147" s="42">
        <v>2.5000000000000001E-2</v>
      </c>
      <c r="AA147" s="42">
        <v>0.128</v>
      </c>
      <c r="AB147" s="42">
        <v>0.13900000000000001</v>
      </c>
      <c r="AC147" s="42">
        <v>1.4E-2</v>
      </c>
      <c r="AD147" s="42">
        <v>7.0000000000000001E-3</v>
      </c>
      <c r="AE147" s="42"/>
      <c r="AF147" s="42">
        <v>4.7E-2</v>
      </c>
      <c r="AG147" s="42">
        <v>4.0000000000000001E-3</v>
      </c>
      <c r="AH147" s="42">
        <v>4.0000000000000001E-3</v>
      </c>
      <c r="AI147" s="42">
        <v>6.0999999999999999E-2</v>
      </c>
      <c r="AJ147" s="42">
        <v>7.6999999999999999E-2</v>
      </c>
      <c r="AK147" s="39"/>
      <c r="AL147" s="39">
        <v>462</v>
      </c>
      <c r="AM147" s="39">
        <v>64463</v>
      </c>
      <c r="AN147" s="39">
        <v>1653</v>
      </c>
      <c r="AO147" s="39">
        <v>411553</v>
      </c>
      <c r="AP147" s="39">
        <v>491332</v>
      </c>
      <c r="AQ147" s="39">
        <v>496978</v>
      </c>
      <c r="AR147" s="39">
        <v>211</v>
      </c>
      <c r="AS147" s="42"/>
      <c r="AT147" s="42"/>
      <c r="AU147" s="42"/>
      <c r="AV147" s="42">
        <v>0.42499999999999999</v>
      </c>
      <c r="AW147" s="42"/>
      <c r="AX147" s="42"/>
      <c r="AY147" s="42">
        <v>0.77</v>
      </c>
      <c r="AZ147" s="42"/>
      <c r="BA147" s="42"/>
      <c r="BB147" s="42">
        <v>0.9</v>
      </c>
      <c r="BC147" s="42"/>
      <c r="BD147" s="42"/>
      <c r="BE147" s="42"/>
      <c r="BF147" s="42"/>
      <c r="BG147" s="30">
        <v>0.66700000000000004</v>
      </c>
      <c r="BH147" s="30"/>
      <c r="BI147" s="30"/>
      <c r="BJ147" s="34">
        <v>3.0000000000000001E-3</v>
      </c>
      <c r="BK147" s="29"/>
      <c r="BL147" s="30"/>
      <c r="BM147" s="30"/>
      <c r="BN147" s="29"/>
      <c r="BO147" s="30">
        <v>0.33</v>
      </c>
      <c r="BP147" s="42"/>
      <c r="BQ147" s="42"/>
      <c r="BR147" s="42"/>
      <c r="BS147" s="42"/>
      <c r="BT147" s="42"/>
      <c r="BU147" s="42"/>
      <c r="BV147" s="42"/>
      <c r="BW147" s="39"/>
      <c r="BX147" s="39"/>
      <c r="BY147" s="39"/>
      <c r="BZ147" s="39"/>
      <c r="CA147" s="39"/>
      <c r="CB147" s="27" t="s">
        <v>96</v>
      </c>
      <c r="CC147" s="27" t="s">
        <v>96</v>
      </c>
      <c r="CD147" s="27" t="s">
        <v>96</v>
      </c>
      <c r="CE147" s="27" t="s">
        <v>753</v>
      </c>
      <c r="CF147" s="27" t="s">
        <v>96</v>
      </c>
      <c r="CG147" s="27" t="s">
        <v>96</v>
      </c>
      <c r="CH147" s="27" t="s">
        <v>95</v>
      </c>
      <c r="CI147" s="27" t="s">
        <v>754</v>
      </c>
      <c r="CJ147" s="27" t="s">
        <v>1588</v>
      </c>
      <c r="CK147" s="27"/>
      <c r="CL147" s="27"/>
      <c r="CM147" s="27"/>
      <c r="CN147" s="27" t="s">
        <v>96</v>
      </c>
      <c r="CO147" s="27"/>
      <c r="CP147" s="27"/>
      <c r="CQ147" s="27"/>
      <c r="CR147" s="43" t="s">
        <v>96</v>
      </c>
      <c r="CS147" s="43" t="s">
        <v>96</v>
      </c>
      <c r="CT147" s="43"/>
      <c r="CU147" s="43"/>
      <c r="CV147" s="43" t="s">
        <v>96</v>
      </c>
      <c r="CW147" s="43" t="s">
        <v>96</v>
      </c>
      <c r="CX147" s="43" t="s">
        <v>96</v>
      </c>
      <c r="CY147" s="43" t="s">
        <v>1723</v>
      </c>
      <c r="CZ147" s="43" t="s">
        <v>109</v>
      </c>
      <c r="DA147" s="43" t="s">
        <v>1470</v>
      </c>
      <c r="DB147" s="43"/>
      <c r="DC147" s="43"/>
      <c r="DD147" s="43"/>
      <c r="DE147" s="43"/>
      <c r="DF147" s="43"/>
    </row>
    <row r="148" spans="1:110" ht="14">
      <c r="A148" s="27" t="s">
        <v>755</v>
      </c>
      <c r="B148" s="47" t="s">
        <v>1712</v>
      </c>
      <c r="C148" s="27" t="s">
        <v>756</v>
      </c>
      <c r="D148" s="27" t="s">
        <v>122</v>
      </c>
      <c r="E148" s="27" t="s">
        <v>122</v>
      </c>
      <c r="F148" s="39">
        <v>1096000000</v>
      </c>
      <c r="G148" s="39">
        <v>46538</v>
      </c>
      <c r="H148" s="40">
        <v>2022</v>
      </c>
      <c r="I148" s="39">
        <v>29340.093636363632</v>
      </c>
      <c r="J148" s="27" t="s">
        <v>94</v>
      </c>
      <c r="K148" s="41">
        <v>1.7272727272727271</v>
      </c>
      <c r="L148" s="39">
        <v>29340.093636363632</v>
      </c>
      <c r="M148" s="39">
        <v>46538</v>
      </c>
      <c r="N148" s="41">
        <v>1.7272727272727271</v>
      </c>
      <c r="O148" s="39">
        <v>27209.040848834095</v>
      </c>
      <c r="P148" s="39">
        <v>41856</v>
      </c>
      <c r="Q148" s="41">
        <v>1.780994777190033</v>
      </c>
      <c r="R148" s="39">
        <v>27977.624686845582</v>
      </c>
      <c r="S148" s="39">
        <v>42128</v>
      </c>
      <c r="T148" s="41">
        <v>1.8194793614532607</v>
      </c>
      <c r="U148" s="39">
        <v>28882.686450572408</v>
      </c>
      <c r="V148" s="39">
        <v>42789</v>
      </c>
      <c r="W148" s="41">
        <v>1.8493222045335815</v>
      </c>
      <c r="X148" s="42">
        <v>0.15457021476077501</v>
      </c>
      <c r="Y148" s="42">
        <v>4.8550818903636002E-2</v>
      </c>
      <c r="Z148" s="42">
        <v>6.2348861738595399E-2</v>
      </c>
      <c r="AA148" s="42">
        <v>0.28230045999238201</v>
      </c>
      <c r="AB148" s="42">
        <v>0.17869842665025901</v>
      </c>
      <c r="AC148" s="42"/>
      <c r="AD148" s="42"/>
      <c r="AE148" s="42"/>
      <c r="AF148" s="42"/>
      <c r="AG148" s="42"/>
      <c r="AH148" s="42"/>
      <c r="AI148" s="42"/>
      <c r="AJ148" s="42">
        <v>0.27353121795435198</v>
      </c>
      <c r="AK148" s="39"/>
      <c r="AL148" s="39"/>
      <c r="AM148" s="39"/>
      <c r="AN148" s="39">
        <v>25.89</v>
      </c>
      <c r="AO148" s="39"/>
      <c r="AP148" s="39"/>
      <c r="AQ148" s="39"/>
      <c r="AR148" s="39"/>
      <c r="AS148" s="42"/>
      <c r="AT148" s="42"/>
      <c r="AU148" s="42"/>
      <c r="AV148" s="42"/>
      <c r="AW148" s="42"/>
      <c r="AX148" s="42"/>
      <c r="AY148" s="42"/>
      <c r="AZ148" s="42"/>
      <c r="BA148" s="42"/>
      <c r="BB148" s="42"/>
      <c r="BC148" s="42"/>
      <c r="BD148" s="42"/>
      <c r="BE148" s="42"/>
      <c r="BF148" s="42"/>
      <c r="BG148" s="42">
        <v>0.849975411455695</v>
      </c>
      <c r="BH148" s="42"/>
      <c r="BI148" s="42"/>
      <c r="BJ148" s="42"/>
      <c r="BK148" s="42">
        <v>5.8321974156833403E-4</v>
      </c>
      <c r="BL148" s="42"/>
      <c r="BM148" s="42"/>
      <c r="BN148" s="42"/>
      <c r="BO148" s="42"/>
      <c r="BP148" s="42">
        <v>0.14944136880273601</v>
      </c>
      <c r="BQ148" s="42"/>
      <c r="BR148" s="42"/>
      <c r="BS148" s="42"/>
      <c r="BT148" s="42"/>
      <c r="BU148" s="42"/>
      <c r="BV148" s="42"/>
      <c r="BW148" s="39"/>
      <c r="BX148" s="39"/>
      <c r="BY148" s="39"/>
      <c r="BZ148" s="39"/>
      <c r="CA148" s="39"/>
      <c r="CB148" s="27" t="s">
        <v>95</v>
      </c>
      <c r="CC148" s="27" t="s">
        <v>96</v>
      </c>
      <c r="CD148" s="27" t="s">
        <v>96</v>
      </c>
      <c r="CE148" s="27" t="s">
        <v>757</v>
      </c>
      <c r="CF148" s="27" t="s">
        <v>96</v>
      </c>
      <c r="CG148" s="27" t="s">
        <v>96</v>
      </c>
      <c r="CH148" s="27" t="s">
        <v>95</v>
      </c>
      <c r="CI148" s="27" t="s">
        <v>758</v>
      </c>
      <c r="CJ148" s="27" t="s">
        <v>759</v>
      </c>
      <c r="CK148" s="27"/>
      <c r="CL148" s="27"/>
      <c r="CM148" s="27"/>
      <c r="CN148" s="27"/>
      <c r="CO148" s="27"/>
      <c r="CP148" s="27" t="s">
        <v>96</v>
      </c>
      <c r="CQ148" s="27" t="s">
        <v>760</v>
      </c>
      <c r="CR148" s="43"/>
      <c r="CS148" s="43"/>
      <c r="CT148" s="43"/>
      <c r="CU148" s="43"/>
      <c r="CV148" s="43"/>
      <c r="CW148" s="43"/>
      <c r="CX148" s="43"/>
      <c r="CY148" s="43"/>
      <c r="CZ148" s="43"/>
      <c r="DA148" s="43"/>
      <c r="DB148" s="43"/>
      <c r="DC148" s="43"/>
      <c r="DD148" s="43"/>
      <c r="DE148" s="43"/>
      <c r="DF148" s="43"/>
    </row>
    <row r="149" spans="1:110" ht="14">
      <c r="A149" s="27" t="s">
        <v>761</v>
      </c>
      <c r="B149" s="27" t="s">
        <v>1713</v>
      </c>
      <c r="C149" s="27" t="s">
        <v>762</v>
      </c>
      <c r="D149" s="27" t="s">
        <v>122</v>
      </c>
      <c r="E149" s="27" t="s">
        <v>122</v>
      </c>
      <c r="F149" s="39">
        <v>596297651036</v>
      </c>
      <c r="G149" s="39">
        <v>5425048</v>
      </c>
      <c r="H149" s="40">
        <v>2022</v>
      </c>
      <c r="I149" s="39">
        <v>4189000</v>
      </c>
      <c r="J149" s="27" t="s">
        <v>94</v>
      </c>
      <c r="K149" s="41">
        <v>2.1155042920849958</v>
      </c>
      <c r="L149" s="39">
        <v>4188999.9999999991</v>
      </c>
      <c r="M149" s="39">
        <v>5425048</v>
      </c>
      <c r="N149" s="41">
        <v>2.1155042920849958</v>
      </c>
      <c r="O149" s="39">
        <v>4496190.0616858583</v>
      </c>
      <c r="P149" s="39">
        <v>5720622</v>
      </c>
      <c r="Q149" s="41">
        <v>2.1533198551006585</v>
      </c>
      <c r="R149" s="39">
        <v>4693756.1554412078</v>
      </c>
      <c r="S149" s="39">
        <v>5849796</v>
      </c>
      <c r="T149" s="41">
        <v>2.1982998903411977</v>
      </c>
      <c r="U149" s="39">
        <v>4814640.3337510126</v>
      </c>
      <c r="V149" s="39">
        <v>5899639</v>
      </c>
      <c r="W149" s="41">
        <v>2.2358648444310374</v>
      </c>
      <c r="X149" s="42">
        <v>0.22709708592592101</v>
      </c>
      <c r="Y149" s="42">
        <v>4.6939392090428599E-2</v>
      </c>
      <c r="Z149" s="42">
        <v>5.64379763166728E-2</v>
      </c>
      <c r="AA149" s="42">
        <v>0.15592494890817199</v>
      </c>
      <c r="AB149" s="42">
        <v>8.8425127712501994E-2</v>
      </c>
      <c r="AC149" s="42"/>
      <c r="AD149" s="42">
        <v>0.128189604759054</v>
      </c>
      <c r="AE149" s="42">
        <v>9.4953201405808998E-2</v>
      </c>
      <c r="AF149" s="42">
        <v>1.9402639352243199E-2</v>
      </c>
      <c r="AG149" s="42">
        <v>2.4212009953248001E-2</v>
      </c>
      <c r="AH149" s="42">
        <v>3.9895078541095003E-2</v>
      </c>
      <c r="AI149" s="42">
        <v>3.7862983455242298E-2</v>
      </c>
      <c r="AJ149" s="42">
        <v>8.0659951579612199E-2</v>
      </c>
      <c r="AK149" s="39">
        <v>1416875</v>
      </c>
      <c r="AL149" s="39">
        <v>144000</v>
      </c>
      <c r="AM149" s="39">
        <v>3156000</v>
      </c>
      <c r="AN149" s="39">
        <v>56000</v>
      </c>
      <c r="AO149" s="39">
        <v>1687</v>
      </c>
      <c r="AP149" s="39">
        <v>1884000</v>
      </c>
      <c r="AQ149" s="39">
        <v>389000</v>
      </c>
      <c r="AR149" s="39">
        <v>191630</v>
      </c>
      <c r="AS149" s="42"/>
      <c r="AT149" s="42"/>
      <c r="AU149" s="42"/>
      <c r="AV149" s="42"/>
      <c r="AW149" s="42"/>
      <c r="AX149" s="42"/>
      <c r="AY149" s="42"/>
      <c r="AZ149" s="42"/>
      <c r="BA149" s="42"/>
      <c r="BB149" s="42"/>
      <c r="BC149" s="42"/>
      <c r="BD149" s="42"/>
      <c r="BE149" s="42"/>
      <c r="BF149" s="42">
        <v>3.5848964449174903E-2</v>
      </c>
      <c r="BG149" s="42"/>
      <c r="BH149" s="42">
        <v>8.0734704842067601E-2</v>
      </c>
      <c r="BI149" s="42">
        <v>9.7400998410601999E-2</v>
      </c>
      <c r="BJ149" s="42">
        <v>0.274815774317688</v>
      </c>
      <c r="BK149" s="42">
        <v>0.50380153078771905</v>
      </c>
      <c r="BL149" s="42"/>
      <c r="BM149" s="42"/>
      <c r="BN149" s="42">
        <v>7.3980271927485998E-3</v>
      </c>
      <c r="BO149" s="42"/>
      <c r="BP149" s="42"/>
      <c r="BQ149" s="42"/>
      <c r="BR149" s="42"/>
      <c r="BS149" s="42"/>
      <c r="BT149" s="42"/>
      <c r="BU149" s="42"/>
      <c r="BV149" s="42"/>
      <c r="BW149" s="39">
        <v>12192</v>
      </c>
      <c r="BX149" s="39">
        <v>2480</v>
      </c>
      <c r="BY149" s="39"/>
      <c r="BZ149" s="39"/>
      <c r="CA149" s="39"/>
      <c r="CB149" s="27" t="s">
        <v>96</v>
      </c>
      <c r="CC149" s="27" t="s">
        <v>96</v>
      </c>
      <c r="CD149" s="27" t="s">
        <v>95</v>
      </c>
      <c r="CE149" s="27" t="s">
        <v>763</v>
      </c>
      <c r="CF149" s="27" t="s">
        <v>96</v>
      </c>
      <c r="CG149" s="27" t="s">
        <v>96</v>
      </c>
      <c r="CH149" s="27" t="s">
        <v>96</v>
      </c>
      <c r="CI149" s="27" t="s">
        <v>764</v>
      </c>
      <c r="CJ149" s="27" t="s">
        <v>1595</v>
      </c>
      <c r="CK149" s="27"/>
      <c r="CL149" s="27" t="s">
        <v>96</v>
      </c>
      <c r="CM149" s="27" t="s">
        <v>765</v>
      </c>
      <c r="CN149" s="27" t="s">
        <v>96</v>
      </c>
      <c r="CO149" s="27"/>
      <c r="CP149" s="27" t="s">
        <v>96</v>
      </c>
      <c r="CQ149" s="27"/>
      <c r="CR149" s="43" t="s">
        <v>96</v>
      </c>
      <c r="CS149" s="43" t="s">
        <v>96</v>
      </c>
      <c r="CT149" s="43"/>
      <c r="CU149" s="43"/>
      <c r="CV149" s="43" t="s">
        <v>96</v>
      </c>
      <c r="CW149" s="43" t="s">
        <v>96</v>
      </c>
      <c r="CX149" s="43" t="s">
        <v>96</v>
      </c>
      <c r="CY149" s="43" t="s">
        <v>1723</v>
      </c>
      <c r="CZ149" s="43" t="s">
        <v>109</v>
      </c>
      <c r="DA149" s="43" t="s">
        <v>1470</v>
      </c>
      <c r="DB149" s="43" t="s">
        <v>96</v>
      </c>
      <c r="DC149" s="43" t="s">
        <v>168</v>
      </c>
      <c r="DD149" s="43" t="s">
        <v>1435</v>
      </c>
      <c r="DE149" s="43" t="s">
        <v>109</v>
      </c>
      <c r="DF149" s="43" t="s">
        <v>1470</v>
      </c>
    </row>
    <row r="150" spans="1:110" ht="14">
      <c r="A150" s="27" t="s">
        <v>766</v>
      </c>
      <c r="B150" t="s">
        <v>1715</v>
      </c>
      <c r="C150" s="27" t="s">
        <v>767</v>
      </c>
      <c r="D150" s="27" t="s">
        <v>122</v>
      </c>
      <c r="E150" s="27" t="s">
        <v>122</v>
      </c>
      <c r="F150" s="39">
        <v>109852795839</v>
      </c>
      <c r="G150" s="39">
        <v>4527058</v>
      </c>
      <c r="H150" s="40">
        <v>2022</v>
      </c>
      <c r="I150" s="39">
        <v>3307951.0490000001</v>
      </c>
      <c r="J150" s="27" t="s">
        <v>94</v>
      </c>
      <c r="K150" s="41">
        <v>2.0019358237295326</v>
      </c>
      <c r="L150" s="39">
        <v>3307951.0490000006</v>
      </c>
      <c r="M150" s="39">
        <v>4527058</v>
      </c>
      <c r="N150" s="41">
        <v>2.0019358237295326</v>
      </c>
      <c r="O150" s="39">
        <v>4605128.0137320906</v>
      </c>
      <c r="P150" s="39">
        <v>6071698</v>
      </c>
      <c r="Q150" s="41">
        <v>2.0779671648224363</v>
      </c>
      <c r="R150" s="39">
        <v>5544119.393728191</v>
      </c>
      <c r="S150" s="39">
        <v>6889400</v>
      </c>
      <c r="T150" s="41">
        <v>2.2047447095530881</v>
      </c>
      <c r="U150" s="39">
        <v>6552467.0597682064</v>
      </c>
      <c r="V150" s="39">
        <v>7780512</v>
      </c>
      <c r="W150" s="41">
        <v>2.3072986131645519</v>
      </c>
      <c r="X150" s="42">
        <v>0.34639999999999999</v>
      </c>
      <c r="Y150" s="42">
        <v>3.1099999999999999E-2</v>
      </c>
      <c r="Z150" s="42">
        <v>3.6499999999999998E-2</v>
      </c>
      <c r="AA150" s="42">
        <v>0.1454</v>
      </c>
      <c r="AB150" s="42">
        <v>0.25659999999999999</v>
      </c>
      <c r="AC150" s="42"/>
      <c r="AD150" s="42">
        <v>2.5600000000000001E-2</v>
      </c>
      <c r="AE150" s="42">
        <v>3.1300000000000001E-2</v>
      </c>
      <c r="AF150" s="42"/>
      <c r="AG150" s="42"/>
      <c r="AH150" s="42"/>
      <c r="AI150" s="42"/>
      <c r="AJ150" s="42">
        <v>0.12709999999999999</v>
      </c>
      <c r="AK150" s="39"/>
      <c r="AL150" s="39">
        <v>184423.78</v>
      </c>
      <c r="AM150" s="39">
        <v>735341</v>
      </c>
      <c r="AN150" s="39">
        <v>71000</v>
      </c>
      <c r="AO150" s="39">
        <v>1399444.87</v>
      </c>
      <c r="AP150" s="39">
        <v>22586.18</v>
      </c>
      <c r="AQ150" s="39"/>
      <c r="AR150" s="39">
        <v>4219</v>
      </c>
      <c r="AS150" s="42"/>
      <c r="AT150" s="42"/>
      <c r="AU150" s="42"/>
      <c r="AV150" s="42"/>
      <c r="AW150" s="42"/>
      <c r="AX150" s="42"/>
      <c r="AY150" s="42">
        <v>1</v>
      </c>
      <c r="AZ150" s="42"/>
      <c r="BA150" s="42"/>
      <c r="BB150" s="42"/>
      <c r="BC150" s="42"/>
      <c r="BD150" s="42"/>
      <c r="BE150" s="42">
        <v>0.496</v>
      </c>
      <c r="BF150" s="42"/>
      <c r="BG150" s="42"/>
      <c r="BH150" s="42"/>
      <c r="BI150" s="42">
        <v>0.20399999999999999</v>
      </c>
      <c r="BJ150" s="42">
        <v>0.3</v>
      </c>
      <c r="BK150" s="42">
        <v>1E-3</v>
      </c>
      <c r="BL150" s="42"/>
      <c r="BM150" s="42"/>
      <c r="BN150" s="42"/>
      <c r="BO150" s="42"/>
      <c r="BP150" s="42"/>
      <c r="BQ150" s="42"/>
      <c r="BR150" s="42"/>
      <c r="BS150" s="42"/>
      <c r="BT150" s="42"/>
      <c r="BU150" s="42"/>
      <c r="BV150" s="42"/>
      <c r="BW150" s="39"/>
      <c r="BX150" s="39"/>
      <c r="BY150" s="39"/>
      <c r="BZ150" s="39"/>
      <c r="CA150" s="39"/>
      <c r="CB150" s="27" t="s">
        <v>96</v>
      </c>
      <c r="CC150" s="27" t="s">
        <v>96</v>
      </c>
      <c r="CD150" s="27" t="s">
        <v>95</v>
      </c>
      <c r="CE150" s="27" t="s">
        <v>768</v>
      </c>
      <c r="CF150" s="27" t="s">
        <v>96</v>
      </c>
      <c r="CG150" s="27" t="s">
        <v>96</v>
      </c>
      <c r="CH150" s="27" t="s">
        <v>95</v>
      </c>
      <c r="CI150" s="27"/>
      <c r="CJ150" s="27" t="s">
        <v>123</v>
      </c>
      <c r="CK150" s="27"/>
      <c r="CL150" s="27" t="s">
        <v>96</v>
      </c>
      <c r="CM150" s="27" t="s">
        <v>769</v>
      </c>
      <c r="CN150" s="27" t="s">
        <v>95</v>
      </c>
      <c r="CO150" s="27"/>
      <c r="CP150" s="27" t="s">
        <v>95</v>
      </c>
      <c r="CQ150" s="27"/>
      <c r="CR150" s="43"/>
      <c r="CS150" s="43"/>
      <c r="CT150" s="43"/>
      <c r="CU150" s="43"/>
      <c r="CV150" s="43"/>
      <c r="CW150" s="43"/>
      <c r="CX150" s="43"/>
      <c r="CY150" s="43"/>
      <c r="CZ150" s="43"/>
      <c r="DA150" s="43"/>
      <c r="DB150" s="43"/>
      <c r="DC150" s="43"/>
      <c r="DD150" s="43"/>
      <c r="DE150" s="43"/>
      <c r="DF150" s="43"/>
    </row>
    <row r="151" spans="1:110" ht="14">
      <c r="A151" s="27" t="s">
        <v>770</v>
      </c>
      <c r="B151" s="27" t="s">
        <v>1717</v>
      </c>
      <c r="C151" s="27" t="s">
        <v>771</v>
      </c>
      <c r="D151" s="27" t="s">
        <v>1651</v>
      </c>
      <c r="E151" s="27" t="s">
        <v>1651</v>
      </c>
      <c r="F151" s="39">
        <v>374890295667</v>
      </c>
      <c r="G151" s="39">
        <v>241727933</v>
      </c>
      <c r="H151" s="27">
        <v>2022</v>
      </c>
      <c r="I151" s="39">
        <v>48500000</v>
      </c>
      <c r="J151" s="27" t="s">
        <v>94</v>
      </c>
      <c r="K151" s="41">
        <v>0.5496953152235291</v>
      </c>
      <c r="L151" s="39">
        <v>48500000</v>
      </c>
      <c r="M151" s="39">
        <v>241727933</v>
      </c>
      <c r="N151" s="41">
        <v>0.5496953152235291</v>
      </c>
      <c r="O151" s="39">
        <v>62101107.243319683</v>
      </c>
      <c r="P151" s="39">
        <v>274579648</v>
      </c>
      <c r="Q151" s="41">
        <v>0.61963813080826535</v>
      </c>
      <c r="R151" s="39">
        <v>92718582.85095951</v>
      </c>
      <c r="S151" s="39">
        <v>322538176</v>
      </c>
      <c r="T151" s="41">
        <v>0.7875765833690429</v>
      </c>
      <c r="U151" s="39">
        <v>136137315.57570416</v>
      </c>
      <c r="V151" s="39">
        <v>369610589</v>
      </c>
      <c r="W151" s="41">
        <v>1.0091132610455356</v>
      </c>
      <c r="X151" s="42">
        <v>0.5696</v>
      </c>
      <c r="Y151" s="42">
        <v>2.1399999999999999E-2</v>
      </c>
      <c r="Z151" s="42">
        <v>5.1000000000000004E-3</v>
      </c>
      <c r="AA151" s="42">
        <v>7.3700000000000002E-2</v>
      </c>
      <c r="AB151" s="42">
        <v>9.7100000000000006E-2</v>
      </c>
      <c r="AC151" s="42">
        <v>8.6E-3</v>
      </c>
      <c r="AD151" s="42">
        <v>3.8699999999999998E-2</v>
      </c>
      <c r="AE151" s="42"/>
      <c r="AF151" s="42">
        <v>3.61E-2</v>
      </c>
      <c r="AG151" s="42"/>
      <c r="AH151" s="42">
        <v>8.9999999999999993E-3</v>
      </c>
      <c r="AI151" s="42"/>
      <c r="AJ151" s="42">
        <v>0.1406</v>
      </c>
      <c r="AK151" s="27"/>
      <c r="AL151" s="27"/>
      <c r="AM151" s="27"/>
      <c r="AN151" s="27">
        <v>468000</v>
      </c>
      <c r="AO151" s="27"/>
      <c r="AP151" s="27"/>
      <c r="AQ151" s="27"/>
      <c r="AR151" s="27"/>
      <c r="AS151" s="27"/>
      <c r="AT151" s="27"/>
      <c r="AU151" s="50">
        <v>3.2899999999999999E-2</v>
      </c>
      <c r="AV151" s="42"/>
      <c r="AW151" s="42"/>
      <c r="AX151" s="42">
        <v>0.2356</v>
      </c>
      <c r="AY151" s="42"/>
      <c r="AZ151" s="42"/>
      <c r="BA151" s="42">
        <v>0.55720000000000003</v>
      </c>
      <c r="BB151" s="27"/>
      <c r="BC151" s="27"/>
      <c r="BD151" s="27"/>
      <c r="BE151" s="27"/>
      <c r="BF151" s="27"/>
      <c r="BG151" s="27"/>
      <c r="BH151" s="27"/>
      <c r="BI151" s="27"/>
      <c r="BJ151" s="27"/>
      <c r="BK151" s="27"/>
      <c r="BL151" s="27"/>
      <c r="BM151" s="27"/>
      <c r="BN151" s="27"/>
      <c r="BO151" s="27"/>
      <c r="BP151" s="27"/>
      <c r="BQ151" s="27"/>
      <c r="BR151" s="27"/>
      <c r="BS151" s="27"/>
      <c r="BT151" s="27"/>
      <c r="BU151" s="27"/>
      <c r="BV151" s="27"/>
      <c r="BW151" s="27"/>
      <c r="BX151" s="27"/>
      <c r="BY151" s="27">
        <v>196133</v>
      </c>
      <c r="BZ151" s="27">
        <v>3126</v>
      </c>
      <c r="CA151" s="27"/>
      <c r="CB151" s="27" t="s">
        <v>96</v>
      </c>
      <c r="CC151" s="27" t="s">
        <v>96</v>
      </c>
      <c r="CD151" s="27" t="s">
        <v>96</v>
      </c>
      <c r="CE151" s="27" t="s">
        <v>772</v>
      </c>
      <c r="CF151" s="27" t="s">
        <v>96</v>
      </c>
      <c r="CG151" s="27" t="s">
        <v>95</v>
      </c>
      <c r="CH151" s="27" t="s">
        <v>95</v>
      </c>
      <c r="CI151" s="27"/>
      <c r="CJ151" s="27" t="s">
        <v>1628</v>
      </c>
      <c r="CK151" s="27"/>
      <c r="CL151" s="27"/>
      <c r="CM151" s="27"/>
      <c r="CN151" s="27" t="s">
        <v>96</v>
      </c>
      <c r="CO151" s="27"/>
      <c r="CP151" s="27"/>
      <c r="CQ151" s="27"/>
      <c r="CR151" s="43" t="s">
        <v>96</v>
      </c>
      <c r="CS151" s="43"/>
      <c r="CT151" s="43" t="s">
        <v>96</v>
      </c>
      <c r="CU151" s="43"/>
      <c r="CV151" s="43"/>
      <c r="CW151" s="43"/>
      <c r="CX151" s="43"/>
      <c r="CY151" s="43" t="s">
        <v>1723</v>
      </c>
      <c r="CZ151" s="43" t="s">
        <v>109</v>
      </c>
      <c r="DA151" s="43" t="s">
        <v>1470</v>
      </c>
      <c r="DB151" s="43"/>
      <c r="DC151" s="43"/>
      <c r="DD151" s="43"/>
      <c r="DE151" s="43"/>
      <c r="DF151" s="43"/>
    </row>
    <row r="152" spans="1:110" ht="14">
      <c r="A152" s="27" t="s">
        <v>773</v>
      </c>
      <c r="B152" s="47" t="s">
        <v>1712</v>
      </c>
      <c r="C152" s="27" t="s">
        <v>774</v>
      </c>
      <c r="D152" s="27" t="s">
        <v>122</v>
      </c>
      <c r="E152" s="27" t="s">
        <v>1650</v>
      </c>
      <c r="F152" s="39">
        <v>285600000</v>
      </c>
      <c r="G152" s="39">
        <v>17803</v>
      </c>
      <c r="H152" s="40">
        <v>2017</v>
      </c>
      <c r="I152" s="39">
        <v>13048.17476</v>
      </c>
      <c r="J152" s="27" t="s">
        <v>94</v>
      </c>
      <c r="K152" s="41">
        <v>2.008</v>
      </c>
      <c r="L152" s="39">
        <v>11425.023854291061</v>
      </c>
      <c r="M152" s="39">
        <v>17770</v>
      </c>
      <c r="N152" s="41">
        <v>1.7614763768843997</v>
      </c>
      <c r="O152" s="39">
        <v>12563.701790894333</v>
      </c>
      <c r="P152" s="39">
        <v>17410</v>
      </c>
      <c r="Q152" s="41">
        <v>1.9770879263050416</v>
      </c>
      <c r="R152" s="39">
        <v>12275.778048184637</v>
      </c>
      <c r="S152" s="39">
        <v>16643</v>
      </c>
      <c r="T152" s="41">
        <v>2.0208056615492032</v>
      </c>
      <c r="U152" s="39">
        <v>11725.989165016812</v>
      </c>
      <c r="V152" s="39">
        <v>15573</v>
      </c>
      <c r="W152" s="41">
        <v>2.0629292822432945</v>
      </c>
      <c r="X152" s="42">
        <v>0.53</v>
      </c>
      <c r="Y152" s="42">
        <v>0.06</v>
      </c>
      <c r="Z152" s="42">
        <v>0.05</v>
      </c>
      <c r="AA152" s="42">
        <v>0.06</v>
      </c>
      <c r="AB152" s="42">
        <v>0.08</v>
      </c>
      <c r="AC152" s="42"/>
      <c r="AD152" s="42"/>
      <c r="AE152" s="42">
        <v>0.02</v>
      </c>
      <c r="AF152" s="42">
        <v>0.02</v>
      </c>
      <c r="AG152" s="42"/>
      <c r="AH152" s="42"/>
      <c r="AI152" s="42"/>
      <c r="AJ152" s="42">
        <v>0.18</v>
      </c>
      <c r="AK152" s="39"/>
      <c r="AL152" s="39"/>
      <c r="AM152" s="39"/>
      <c r="AN152" s="39">
        <v>220.27</v>
      </c>
      <c r="AO152" s="39"/>
      <c r="AP152" s="39"/>
      <c r="AQ152" s="39"/>
      <c r="AR152" s="39"/>
      <c r="AS152" s="42"/>
      <c r="AT152" s="42"/>
      <c r="AU152" s="42"/>
      <c r="AV152" s="42"/>
      <c r="AW152" s="42"/>
      <c r="AX152" s="42"/>
      <c r="AY152" s="42">
        <v>0.92</v>
      </c>
      <c r="AZ152" s="42">
        <v>0.90800000000000003</v>
      </c>
      <c r="BA152" s="42"/>
      <c r="BB152" s="42">
        <v>1</v>
      </c>
      <c r="BC152" s="42"/>
      <c r="BD152" s="42"/>
      <c r="BE152" s="42"/>
      <c r="BF152" s="42"/>
      <c r="BG152" s="42">
        <v>0.82599999999999996</v>
      </c>
      <c r="BH152" s="42"/>
      <c r="BI152" s="42"/>
      <c r="BJ152" s="42">
        <v>8.2000000000000003E-2</v>
      </c>
      <c r="BK152" s="42"/>
      <c r="BL152" s="42"/>
      <c r="BM152" s="42"/>
      <c r="BN152" s="42"/>
      <c r="BO152" s="42">
        <v>8.7999999999999995E-2</v>
      </c>
      <c r="BP152" s="42">
        <v>4.0000000000000001E-3</v>
      </c>
      <c r="BQ152" s="42"/>
      <c r="BR152" s="42"/>
      <c r="BS152" s="42"/>
      <c r="BT152" s="42"/>
      <c r="BU152" s="42">
        <v>0.55700000000000005</v>
      </c>
      <c r="BV152" s="42">
        <v>0.443</v>
      </c>
      <c r="BW152" s="39"/>
      <c r="BX152" s="39"/>
      <c r="BY152" s="39"/>
      <c r="BZ152" s="39"/>
      <c r="CA152" s="39"/>
      <c r="CB152" s="27" t="s">
        <v>95</v>
      </c>
      <c r="CC152" s="27" t="s">
        <v>96</v>
      </c>
      <c r="CD152" s="27" t="s">
        <v>96</v>
      </c>
      <c r="CE152" s="27" t="s">
        <v>775</v>
      </c>
      <c r="CF152" s="27" t="s">
        <v>96</v>
      </c>
      <c r="CG152" s="27" t="s">
        <v>96</v>
      </c>
      <c r="CH152" s="27" t="s">
        <v>95</v>
      </c>
      <c r="CI152" s="27"/>
      <c r="CJ152" s="27" t="s">
        <v>776</v>
      </c>
      <c r="CK152" s="27"/>
      <c r="CL152" s="27" t="s">
        <v>96</v>
      </c>
      <c r="CM152" s="27" t="s">
        <v>777</v>
      </c>
      <c r="CN152" s="27"/>
      <c r="CO152" s="27"/>
      <c r="CP152" s="27" t="s">
        <v>96</v>
      </c>
      <c r="CQ152" s="27"/>
      <c r="CR152" s="43"/>
      <c r="CS152" s="43"/>
      <c r="CT152" s="43"/>
      <c r="CU152" s="43"/>
      <c r="CV152" s="43"/>
      <c r="CW152" s="43"/>
      <c r="CX152" s="43"/>
      <c r="CY152" s="43"/>
      <c r="CZ152" s="43"/>
      <c r="DA152" s="43"/>
      <c r="DB152" s="43" t="s">
        <v>96</v>
      </c>
      <c r="DC152" s="43" t="s">
        <v>168</v>
      </c>
      <c r="DD152" s="43" t="s">
        <v>1069</v>
      </c>
      <c r="DE152" s="43" t="s">
        <v>109</v>
      </c>
      <c r="DF152" s="43" t="s">
        <v>1470</v>
      </c>
    </row>
    <row r="153" spans="1:110" ht="14">
      <c r="A153" s="27" t="s">
        <v>778</v>
      </c>
      <c r="B153" s="27" t="s">
        <v>1714</v>
      </c>
      <c r="C153" s="27" t="s">
        <v>779</v>
      </c>
      <c r="D153" s="27" t="s">
        <v>122</v>
      </c>
      <c r="E153" s="27" t="s">
        <v>122</v>
      </c>
      <c r="F153" s="39">
        <v>57059846500</v>
      </c>
      <c r="G153" s="39">
        <v>4319294</v>
      </c>
      <c r="H153" s="40">
        <v>2021</v>
      </c>
      <c r="I153" s="39">
        <v>1970906.3876499999</v>
      </c>
      <c r="J153" s="27" t="s">
        <v>94</v>
      </c>
      <c r="K153" s="41">
        <v>1.2501449375310454</v>
      </c>
      <c r="L153" s="39">
        <v>2054577.5009428863</v>
      </c>
      <c r="M153" s="39">
        <v>4371516</v>
      </c>
      <c r="N153" s="41">
        <v>1.2876492856569768</v>
      </c>
      <c r="O153" s="39">
        <v>2536122.1923060953</v>
      </c>
      <c r="P153" s="39">
        <v>4808870</v>
      </c>
      <c r="Q153" s="41">
        <v>1.4448882957785945</v>
      </c>
      <c r="R153" s="39">
        <v>2964305.8397520361</v>
      </c>
      <c r="S153" s="39">
        <v>5266527</v>
      </c>
      <c r="T153" s="41">
        <v>1.5420761846154678</v>
      </c>
      <c r="U153" s="39">
        <v>3297914.6984314579</v>
      </c>
      <c r="V153" s="39">
        <v>5616462</v>
      </c>
      <c r="W153" s="41">
        <v>1.6087321049138501</v>
      </c>
      <c r="X153" s="42">
        <v>0.33</v>
      </c>
      <c r="Y153" s="42">
        <v>0.03</v>
      </c>
      <c r="Z153" s="42">
        <v>4.4999999999999998E-2</v>
      </c>
      <c r="AA153" s="42">
        <v>0.13700000000000001</v>
      </c>
      <c r="AB153" s="42">
        <v>0.17199999999999999</v>
      </c>
      <c r="AC153" s="42">
        <v>1E-3</v>
      </c>
      <c r="AD153" s="42">
        <v>2.1000000000000001E-2</v>
      </c>
      <c r="AE153" s="42"/>
      <c r="AF153" s="42">
        <v>6.3E-2</v>
      </c>
      <c r="AG153" s="42">
        <v>1.2999999999999999E-2</v>
      </c>
      <c r="AH153" s="42">
        <v>0.01</v>
      </c>
      <c r="AI153" s="42"/>
      <c r="AJ153" s="42">
        <v>0.17799999999999999</v>
      </c>
      <c r="AK153" s="39"/>
      <c r="AL153" s="39"/>
      <c r="AM153" s="39">
        <v>1072852</v>
      </c>
      <c r="AN153" s="39">
        <v>32598</v>
      </c>
      <c r="AO153" s="39"/>
      <c r="AP153" s="39"/>
      <c r="AQ153" s="39"/>
      <c r="AR153" s="39">
        <v>11470</v>
      </c>
      <c r="AS153" s="42"/>
      <c r="AT153" s="42"/>
      <c r="AU153" s="42"/>
      <c r="AV153" s="42"/>
      <c r="AW153" s="42"/>
      <c r="AX153" s="42">
        <v>0.75860057629789801</v>
      </c>
      <c r="AY153" s="42"/>
      <c r="AZ153" s="42">
        <v>0.64200000000000002</v>
      </c>
      <c r="BA153" s="42"/>
      <c r="BB153" s="42"/>
      <c r="BC153" s="42"/>
      <c r="BD153" s="42"/>
      <c r="BE153" s="42"/>
      <c r="BF153" s="42"/>
      <c r="BG153" s="42"/>
      <c r="BH153" s="42"/>
      <c r="BI153" s="42"/>
      <c r="BJ153" s="42"/>
      <c r="BK153" s="42"/>
      <c r="BL153" s="42"/>
      <c r="BM153" s="42"/>
      <c r="BN153" s="42"/>
      <c r="BO153" s="42">
        <v>0.35799999999999998</v>
      </c>
      <c r="BP153" s="42">
        <v>0.64200000000000002</v>
      </c>
      <c r="BQ153" s="42">
        <v>5.54397606558127E-2</v>
      </c>
      <c r="BR153" s="42">
        <v>0.82388571942516398</v>
      </c>
      <c r="BS153" s="42">
        <v>7.3294645025192895E-2</v>
      </c>
      <c r="BT153" s="42">
        <v>1.7868671924877701E-2</v>
      </c>
      <c r="BU153" s="42"/>
      <c r="BV153" s="42">
        <v>2.9508815653718799E-2</v>
      </c>
      <c r="BW153" s="39">
        <v>6085</v>
      </c>
      <c r="BX153" s="39"/>
      <c r="BY153" s="39"/>
      <c r="BZ153" s="39"/>
      <c r="CA153" s="39"/>
      <c r="CB153" s="27" t="s">
        <v>96</v>
      </c>
      <c r="CC153" s="27" t="s">
        <v>96</v>
      </c>
      <c r="CD153" s="27"/>
      <c r="CE153" s="27" t="s">
        <v>780</v>
      </c>
      <c r="CF153" s="27" t="s">
        <v>96</v>
      </c>
      <c r="CG153" s="27" t="s">
        <v>96</v>
      </c>
      <c r="CH153" s="27" t="s">
        <v>96</v>
      </c>
      <c r="CI153" s="27" t="s">
        <v>95</v>
      </c>
      <c r="CJ153" s="27" t="s">
        <v>1611</v>
      </c>
      <c r="CK153" s="27"/>
      <c r="CL153" s="27"/>
      <c r="CM153" s="27"/>
      <c r="CN153" s="27" t="s">
        <v>96</v>
      </c>
      <c r="CO153" s="27"/>
      <c r="CP153" s="27"/>
      <c r="CQ153" s="27"/>
      <c r="CR153" s="43" t="s">
        <v>96</v>
      </c>
      <c r="CS153" s="43" t="s">
        <v>96</v>
      </c>
      <c r="CT153" s="43"/>
      <c r="CU153" s="43"/>
      <c r="CV153" s="43" t="s">
        <v>96</v>
      </c>
      <c r="CW153" s="43" t="s">
        <v>96</v>
      </c>
      <c r="CX153" s="43" t="s">
        <v>96</v>
      </c>
      <c r="CY153" s="43" t="s">
        <v>106</v>
      </c>
      <c r="CZ153" s="43" t="s">
        <v>198</v>
      </c>
      <c r="DA153" s="43" t="s">
        <v>197</v>
      </c>
      <c r="DB153" s="43"/>
      <c r="DC153" s="43"/>
      <c r="DD153" s="43"/>
      <c r="DE153" s="43"/>
      <c r="DF153" s="43"/>
    </row>
    <row r="154" spans="1:110" ht="14">
      <c r="A154" s="27" t="s">
        <v>781</v>
      </c>
      <c r="B154" s="47" t="s">
        <v>1712</v>
      </c>
      <c r="C154" s="27" t="s">
        <v>782</v>
      </c>
      <c r="D154" s="27" t="s">
        <v>1651</v>
      </c>
      <c r="E154" s="27" t="s">
        <v>1651</v>
      </c>
      <c r="F154" s="39">
        <v>24750626030</v>
      </c>
      <c r="G154" s="39">
        <v>9502191</v>
      </c>
      <c r="H154" s="40">
        <v>2019</v>
      </c>
      <c r="I154" s="39">
        <v>1630100.8660499998</v>
      </c>
      <c r="J154" s="27" t="s">
        <v>94</v>
      </c>
      <c r="K154" s="41">
        <v>0.47</v>
      </c>
      <c r="L154" s="39">
        <v>1661789.9480580867</v>
      </c>
      <c r="M154" s="39">
        <v>10110130</v>
      </c>
      <c r="N154" s="41">
        <v>0.45032548273482947</v>
      </c>
      <c r="O154" s="39">
        <v>2084980.4086252109</v>
      </c>
      <c r="P154" s="39">
        <v>11582360</v>
      </c>
      <c r="Q154" s="41">
        <v>0.49318749306047005</v>
      </c>
      <c r="R154" s="39">
        <v>3095738.9697804865</v>
      </c>
      <c r="S154" s="39">
        <v>13294892</v>
      </c>
      <c r="T154" s="41">
        <v>0.63795002092048425</v>
      </c>
      <c r="U154" s="39">
        <v>3558295.169884047</v>
      </c>
      <c r="V154" s="39">
        <v>14836287</v>
      </c>
      <c r="W154" s="41">
        <v>0.65708852154809883</v>
      </c>
      <c r="X154" s="42">
        <v>0.40179999999999999</v>
      </c>
      <c r="Y154" s="42">
        <v>5.4100000000000002E-2</v>
      </c>
      <c r="Z154" s="42">
        <v>0.1075</v>
      </c>
      <c r="AA154" s="42">
        <v>0.1356</v>
      </c>
      <c r="AB154" s="42">
        <v>0.12839999999999999</v>
      </c>
      <c r="AC154" s="42"/>
      <c r="AD154" s="42"/>
      <c r="AE154" s="42"/>
      <c r="AF154" s="42"/>
      <c r="AG154" s="42"/>
      <c r="AH154" s="42"/>
      <c r="AI154" s="42">
        <v>4.5400000000000003E-2</v>
      </c>
      <c r="AJ154" s="42">
        <v>0.12720000000000001</v>
      </c>
      <c r="AK154" s="39"/>
      <c r="AL154" s="39"/>
      <c r="AM154" s="39"/>
      <c r="AN154" s="39">
        <v>13000</v>
      </c>
      <c r="AO154" s="39"/>
      <c r="AP154" s="39"/>
      <c r="AQ154" s="39"/>
      <c r="AR154" s="39"/>
      <c r="AS154" s="42"/>
      <c r="AT154" s="42"/>
      <c r="AU154" s="42"/>
      <c r="AV154" s="42">
        <v>0</v>
      </c>
      <c r="AW154" s="42"/>
      <c r="AX154" s="42">
        <v>0.1376</v>
      </c>
      <c r="AY154" s="42"/>
      <c r="AZ154" s="42">
        <v>0.12330000000000001</v>
      </c>
      <c r="BA154" s="42"/>
      <c r="BB154" s="42"/>
      <c r="BC154" s="42"/>
      <c r="BD154" s="42"/>
      <c r="BE154" s="42"/>
      <c r="BF154" s="27"/>
      <c r="BG154" s="42">
        <v>0.12330000000000001</v>
      </c>
      <c r="BH154" s="42"/>
      <c r="BI154" s="42"/>
      <c r="BJ154" s="42"/>
      <c r="BK154" s="42"/>
      <c r="BL154" s="42"/>
      <c r="BM154" s="42"/>
      <c r="BN154" s="42"/>
      <c r="BO154" s="42">
        <v>0.87670000000000003</v>
      </c>
      <c r="BP154" s="42"/>
      <c r="BQ154" s="42"/>
      <c r="BR154" s="42"/>
      <c r="BS154" s="42"/>
      <c r="BT154" s="42"/>
      <c r="BU154" s="42"/>
      <c r="BV154" s="42"/>
      <c r="BW154" s="39"/>
      <c r="BX154" s="39"/>
      <c r="BY154" s="39">
        <v>300</v>
      </c>
      <c r="BZ154" s="39"/>
      <c r="CA154" s="39">
        <v>100</v>
      </c>
      <c r="CB154" s="27" t="s">
        <v>95</v>
      </c>
      <c r="CC154" s="27" t="s">
        <v>96</v>
      </c>
      <c r="CD154" s="27" t="s">
        <v>96</v>
      </c>
      <c r="CE154" s="27" t="s">
        <v>783</v>
      </c>
      <c r="CF154" s="27" t="s">
        <v>96</v>
      </c>
      <c r="CG154" s="27" t="s">
        <v>96</v>
      </c>
      <c r="CH154" s="27" t="s">
        <v>95</v>
      </c>
      <c r="CI154" s="27" t="s">
        <v>784</v>
      </c>
      <c r="CJ154" s="27" t="s">
        <v>123</v>
      </c>
      <c r="CK154" s="27"/>
      <c r="CL154" s="27" t="s">
        <v>96</v>
      </c>
      <c r="CM154" s="27" t="s">
        <v>785</v>
      </c>
      <c r="CN154" s="27"/>
      <c r="CO154" s="27"/>
      <c r="CP154" s="27"/>
      <c r="CQ154" s="27"/>
      <c r="CR154" s="43"/>
      <c r="CS154" s="43"/>
      <c r="CT154" s="43"/>
      <c r="CU154" s="43"/>
      <c r="CV154" s="43"/>
      <c r="CW154" s="43"/>
      <c r="CX154" s="43"/>
      <c r="CY154" s="43"/>
      <c r="CZ154" s="43"/>
      <c r="DA154" s="43"/>
      <c r="DB154" s="43"/>
      <c r="DC154" s="43"/>
      <c r="DD154" s="43"/>
      <c r="DE154" s="43"/>
      <c r="DF154" s="43"/>
    </row>
    <row r="155" spans="1:110" ht="14">
      <c r="A155" s="27" t="s">
        <v>786</v>
      </c>
      <c r="B155" s="27" t="s">
        <v>1714</v>
      </c>
      <c r="C155" s="27" t="s">
        <v>787</v>
      </c>
      <c r="D155" s="27" t="s">
        <v>1650</v>
      </c>
      <c r="E155" s="27" t="s">
        <v>1650</v>
      </c>
      <c r="F155" s="39">
        <v>41952910858.080002</v>
      </c>
      <c r="G155" s="39">
        <v>6719402</v>
      </c>
      <c r="H155" s="40">
        <v>2022</v>
      </c>
      <c r="I155" s="39">
        <v>2943098.0759999999</v>
      </c>
      <c r="J155" s="27" t="s">
        <v>94</v>
      </c>
      <c r="K155" s="41">
        <v>1.2</v>
      </c>
      <c r="L155" s="39">
        <v>2943098.0759999994</v>
      </c>
      <c r="M155" s="39">
        <v>6719402</v>
      </c>
      <c r="N155" s="41">
        <v>1.2</v>
      </c>
      <c r="O155" s="39">
        <v>3594109.4808102679</v>
      </c>
      <c r="P155" s="39">
        <v>7370167</v>
      </c>
      <c r="Q155" s="41">
        <v>1.3360450706057467</v>
      </c>
      <c r="R155" s="39">
        <v>4431583.7306120563</v>
      </c>
      <c r="S155" s="39">
        <v>8056907</v>
      </c>
      <c r="T155" s="41">
        <v>1.5069461878296597</v>
      </c>
      <c r="U155" s="39">
        <v>5259093.694988708</v>
      </c>
      <c r="V155" s="39">
        <v>8616483</v>
      </c>
      <c r="W155" s="41">
        <v>1.6721991880772458</v>
      </c>
      <c r="X155" s="42"/>
      <c r="Y155" s="42"/>
      <c r="Z155" s="42"/>
      <c r="AA155" s="42"/>
      <c r="AB155" s="42"/>
      <c r="AC155" s="42"/>
      <c r="AD155" s="42"/>
      <c r="AE155" s="42"/>
      <c r="AF155" s="42"/>
      <c r="AG155" s="42"/>
      <c r="AH155" s="42"/>
      <c r="AI155" s="42"/>
      <c r="AJ155" s="42"/>
      <c r="AK155" s="39"/>
      <c r="AL155" s="39"/>
      <c r="AM155" s="39">
        <v>620730</v>
      </c>
      <c r="AN155" s="39">
        <v>57000</v>
      </c>
      <c r="AO155" s="39"/>
      <c r="AP155" s="39">
        <v>276670</v>
      </c>
      <c r="AQ155" s="39"/>
      <c r="AR155" s="39"/>
      <c r="AS155" s="42"/>
      <c r="AT155" s="42"/>
      <c r="AU155" s="42"/>
      <c r="AV155" s="42"/>
      <c r="AW155" s="42"/>
      <c r="AX155" s="42">
        <v>0.57999999999999996</v>
      </c>
      <c r="AY155" s="42">
        <v>0.56999999999999995</v>
      </c>
      <c r="AZ155" s="42">
        <v>0.57950000000000002</v>
      </c>
      <c r="BA155" s="42"/>
      <c r="BB155" s="42"/>
      <c r="BC155" s="42"/>
      <c r="BD155" s="42"/>
      <c r="BE155" s="42"/>
      <c r="BF155" s="42"/>
      <c r="BG155" s="42">
        <v>0.57950000000000002</v>
      </c>
      <c r="BH155" s="42"/>
      <c r="BI155" s="42"/>
      <c r="BJ155" s="42"/>
      <c r="BK155" s="42"/>
      <c r="BL155" s="42"/>
      <c r="BM155" s="42"/>
      <c r="BN155" s="42"/>
      <c r="BO155" s="42">
        <v>0.42049999999999998</v>
      </c>
      <c r="BP155" s="42"/>
      <c r="BQ155" s="42">
        <v>3.1300000000000001E-2</v>
      </c>
      <c r="BR155" s="42">
        <v>0.7823</v>
      </c>
      <c r="BS155" s="42">
        <v>0.14949999999999999</v>
      </c>
      <c r="BT155" s="42">
        <v>1.4E-3</v>
      </c>
      <c r="BU155" s="42"/>
      <c r="BV155" s="42">
        <v>3.5499999999999997E-2</v>
      </c>
      <c r="BW155" s="39"/>
      <c r="BX155" s="39"/>
      <c r="BY155" s="39"/>
      <c r="BZ155" s="39"/>
      <c r="CA155" s="39"/>
      <c r="CB155" s="27" t="s">
        <v>95</v>
      </c>
      <c r="CC155" s="27" t="s">
        <v>95</v>
      </c>
      <c r="CD155" s="27" t="s">
        <v>96</v>
      </c>
      <c r="CE155" s="27" t="s">
        <v>788</v>
      </c>
      <c r="CF155" s="27" t="s">
        <v>96</v>
      </c>
      <c r="CG155" s="27" t="s">
        <v>96</v>
      </c>
      <c r="CH155" s="27"/>
      <c r="CI155" s="27"/>
      <c r="CJ155" s="27" t="s">
        <v>1612</v>
      </c>
      <c r="CK155" s="27"/>
      <c r="CL155" s="27" t="s">
        <v>96</v>
      </c>
      <c r="CM155" s="27" t="s">
        <v>789</v>
      </c>
      <c r="CN155" s="27"/>
      <c r="CO155" s="27"/>
      <c r="CP155" s="27"/>
      <c r="CQ155" s="27"/>
      <c r="CR155" s="43"/>
      <c r="CS155" s="43"/>
      <c r="CT155" s="43"/>
      <c r="CU155" s="43"/>
      <c r="CV155" s="43"/>
      <c r="CW155" s="43"/>
      <c r="CX155" s="43"/>
      <c r="CY155" s="43"/>
      <c r="CZ155" s="43"/>
      <c r="DA155" s="43"/>
      <c r="DB155" s="43"/>
      <c r="DC155" s="43"/>
      <c r="DD155" s="43"/>
      <c r="DE155" s="43"/>
      <c r="DF155" s="43"/>
    </row>
    <row r="156" spans="1:110" ht="14">
      <c r="A156" s="27" t="s">
        <v>790</v>
      </c>
      <c r="B156" s="27" t="s">
        <v>1714</v>
      </c>
      <c r="C156" s="27" t="s">
        <v>791</v>
      </c>
      <c r="D156" s="27" t="s">
        <v>1650</v>
      </c>
      <c r="E156" s="27" t="s">
        <v>1650</v>
      </c>
      <c r="F156" s="39">
        <v>226328766460</v>
      </c>
      <c r="G156" s="39">
        <v>33017232.000000004</v>
      </c>
      <c r="H156" s="40">
        <v>2021</v>
      </c>
      <c r="I156" s="39">
        <v>10213959.25</v>
      </c>
      <c r="J156" s="27" t="s">
        <v>94</v>
      </c>
      <c r="K156" s="41">
        <v>0.84754076295674929</v>
      </c>
      <c r="L156" s="39">
        <v>10405827.036802765</v>
      </c>
      <c r="M156" s="39">
        <v>33294532</v>
      </c>
      <c r="N156" s="41">
        <v>0.8562701878291199</v>
      </c>
      <c r="O156" s="39">
        <v>12369343.335237414</v>
      </c>
      <c r="P156" s="39">
        <v>36044439</v>
      </c>
      <c r="Q156" s="41">
        <v>0.94018974403687561</v>
      </c>
      <c r="R156" s="39">
        <v>15051272.072094353</v>
      </c>
      <c r="S156" s="39">
        <v>38684260</v>
      </c>
      <c r="T156" s="41">
        <v>1.0659726162877199</v>
      </c>
      <c r="U156" s="39">
        <v>17693488.374814231</v>
      </c>
      <c r="V156" s="39">
        <v>40515509</v>
      </c>
      <c r="W156" s="41">
        <v>1.1964630782728016</v>
      </c>
      <c r="X156" s="42">
        <v>0.44246420723998298</v>
      </c>
      <c r="Y156" s="42">
        <v>3.1179347646565901E-2</v>
      </c>
      <c r="Z156" s="42">
        <v>3.9716264127487202E-2</v>
      </c>
      <c r="AA156" s="42">
        <v>7.8438208220697497E-2</v>
      </c>
      <c r="AB156" s="42">
        <v>0.13129363400628699</v>
      </c>
      <c r="AC156" s="42">
        <v>5.9326959608400299E-3</v>
      </c>
      <c r="AD156" s="42"/>
      <c r="AE156" s="42">
        <v>9.5468774961079597E-2</v>
      </c>
      <c r="AF156" s="42">
        <v>9.2376977909655305E-3</v>
      </c>
      <c r="AG156" s="42"/>
      <c r="AH156" s="42"/>
      <c r="AI156" s="42">
        <v>7.5702112287485301E-2</v>
      </c>
      <c r="AJ156" s="42">
        <v>9.0567057758609099E-2</v>
      </c>
      <c r="AK156" s="39">
        <v>1102201.96</v>
      </c>
      <c r="AL156" s="39">
        <v>54612.82</v>
      </c>
      <c r="AM156" s="39">
        <v>741352.39</v>
      </c>
      <c r="AN156" s="39">
        <v>221000</v>
      </c>
      <c r="AO156" s="39">
        <v>2093460</v>
      </c>
      <c r="AP156" s="39">
        <v>738613.31</v>
      </c>
      <c r="AQ156" s="39">
        <v>2745500</v>
      </c>
      <c r="AR156" s="39">
        <v>9233.3799999999992</v>
      </c>
      <c r="AS156" s="42"/>
      <c r="AT156" s="42"/>
      <c r="AU156" s="42"/>
      <c r="AV156" s="42"/>
      <c r="AW156" s="42"/>
      <c r="AX156" s="42"/>
      <c r="AY156" s="42"/>
      <c r="AZ156" s="42">
        <v>0.94169999999999998</v>
      </c>
      <c r="BA156" s="42"/>
      <c r="BB156" s="42"/>
      <c r="BC156" s="42"/>
      <c r="BD156" s="42"/>
      <c r="BE156" s="42"/>
      <c r="BF156" s="42"/>
      <c r="BG156" s="42">
        <v>0.61180000000000001</v>
      </c>
      <c r="BH156" s="42"/>
      <c r="BI156" s="42">
        <v>8.2483324512258108E-3</v>
      </c>
      <c r="BJ156" s="42">
        <v>9.3196788478870207E-3</v>
      </c>
      <c r="BK156" s="42"/>
      <c r="BL156" s="42"/>
      <c r="BM156" s="42"/>
      <c r="BN156" s="42"/>
      <c r="BO156" s="42">
        <v>5.8299999999999998E-2</v>
      </c>
      <c r="BP156" s="42">
        <v>0.31240000000000001</v>
      </c>
      <c r="BQ156" s="42"/>
      <c r="BR156" s="42"/>
      <c r="BS156" s="42"/>
      <c r="BT156" s="42"/>
      <c r="BU156" s="42"/>
      <c r="BV156" s="42"/>
      <c r="BW156" s="39">
        <v>13788</v>
      </c>
      <c r="BX156" s="39">
        <v>2757.6</v>
      </c>
      <c r="BY156" s="39">
        <v>53000</v>
      </c>
      <c r="BZ156" s="39"/>
      <c r="CA156" s="39"/>
      <c r="CB156" s="27" t="s">
        <v>96</v>
      </c>
      <c r="CC156" s="27"/>
      <c r="CD156" s="27" t="s">
        <v>96</v>
      </c>
      <c r="CE156" s="27" t="s">
        <v>1613</v>
      </c>
      <c r="CF156" s="27" t="s">
        <v>96</v>
      </c>
      <c r="CG156" s="27" t="s">
        <v>96</v>
      </c>
      <c r="CH156" s="27"/>
      <c r="CI156" s="27" t="s">
        <v>792</v>
      </c>
      <c r="CJ156" s="27" t="s">
        <v>1614</v>
      </c>
      <c r="CK156" s="27"/>
      <c r="CL156" s="27" t="s">
        <v>96</v>
      </c>
      <c r="CM156" s="27" t="s">
        <v>793</v>
      </c>
      <c r="CN156" s="27" t="s">
        <v>96</v>
      </c>
      <c r="CO156" s="27"/>
      <c r="CP156" s="27"/>
      <c r="CQ156" s="27"/>
      <c r="CR156" s="43" t="s">
        <v>96</v>
      </c>
      <c r="CS156" s="43" t="s">
        <v>96</v>
      </c>
      <c r="CT156" s="43"/>
      <c r="CU156" s="43"/>
      <c r="CV156" s="43" t="s">
        <v>96</v>
      </c>
      <c r="CW156" s="43"/>
      <c r="CX156" s="43" t="s">
        <v>96</v>
      </c>
      <c r="CY156" s="43" t="s">
        <v>1721</v>
      </c>
      <c r="CZ156" s="43" t="s">
        <v>109</v>
      </c>
      <c r="DA156" s="43" t="s">
        <v>1470</v>
      </c>
      <c r="DB156" s="43"/>
      <c r="DC156" s="43"/>
      <c r="DD156" s="43"/>
      <c r="DE156" s="43"/>
      <c r="DF156" s="43"/>
    </row>
    <row r="157" spans="1:110" ht="14">
      <c r="A157" s="27" t="s">
        <v>794</v>
      </c>
      <c r="B157" s="47" t="s">
        <v>1712</v>
      </c>
      <c r="C157" s="27" t="s">
        <v>795</v>
      </c>
      <c r="D157" s="27" t="s">
        <v>1651</v>
      </c>
      <c r="E157" s="27" t="s">
        <v>1651</v>
      </c>
      <c r="F157" s="39">
        <v>361751145451.59998</v>
      </c>
      <c r="G157" s="39">
        <v>111477954</v>
      </c>
      <c r="H157" s="40">
        <v>2020</v>
      </c>
      <c r="I157" s="39">
        <v>16628026</v>
      </c>
      <c r="J157" s="27" t="s">
        <v>94</v>
      </c>
      <c r="K157" s="41">
        <v>0.40865690463280618</v>
      </c>
      <c r="L157" s="39">
        <v>17440184.806619525</v>
      </c>
      <c r="M157" s="39">
        <v>113517326</v>
      </c>
      <c r="N157" s="41">
        <v>0.42091661177179041</v>
      </c>
      <c r="O157" s="39">
        <v>19140799.800906707</v>
      </c>
      <c r="P157" s="39">
        <v>120957813</v>
      </c>
      <c r="Q157" s="41">
        <v>0.43354411012494415</v>
      </c>
      <c r="R157" s="39">
        <v>25446097.000173654</v>
      </c>
      <c r="S157" s="39">
        <v>129206096</v>
      </c>
      <c r="T157" s="41">
        <v>0.53956691212968078</v>
      </c>
      <c r="U157" s="39">
        <v>30275594.734217498</v>
      </c>
      <c r="V157" s="39">
        <v>134243619</v>
      </c>
      <c r="W157" s="41">
        <v>0.61788288714316564</v>
      </c>
      <c r="X157" s="42">
        <v>0.52310000000000001</v>
      </c>
      <c r="Y157" s="42">
        <v>2.3400000000000001E-2</v>
      </c>
      <c r="Z157" s="42">
        <v>4.2200000000000001E-2</v>
      </c>
      <c r="AA157" s="42">
        <v>8.6999999999999994E-2</v>
      </c>
      <c r="AB157" s="42">
        <v>0.1055</v>
      </c>
      <c r="AC157" s="42">
        <v>3.7000000000000002E-3</v>
      </c>
      <c r="AD157" s="42"/>
      <c r="AE157" s="42"/>
      <c r="AF157" s="42">
        <v>1.61E-2</v>
      </c>
      <c r="AG157" s="42"/>
      <c r="AH157" s="42"/>
      <c r="AI157" s="42"/>
      <c r="AJ157" s="42">
        <v>0.19900000000000001</v>
      </c>
      <c r="AK157" s="39"/>
      <c r="AL157" s="39"/>
      <c r="AM157" s="39"/>
      <c r="AN157" s="39">
        <v>537000</v>
      </c>
      <c r="AO157" s="39"/>
      <c r="AP157" s="39"/>
      <c r="AQ157" s="39"/>
      <c r="AR157" s="39"/>
      <c r="AS157" s="42">
        <v>0.65</v>
      </c>
      <c r="AT157" s="42">
        <v>0.35</v>
      </c>
      <c r="AU157" s="42"/>
      <c r="AV157" s="42"/>
      <c r="AW157" s="42"/>
      <c r="AX157" s="42"/>
      <c r="AY157" s="42"/>
      <c r="AZ157" s="42">
        <v>0.54979999999999996</v>
      </c>
      <c r="BA157" s="42"/>
      <c r="BB157" s="42"/>
      <c r="BC157" s="42"/>
      <c r="BD157" s="42"/>
      <c r="BE157" s="42"/>
      <c r="BF157" s="42"/>
      <c r="BG157" s="42"/>
      <c r="BH157" s="42"/>
      <c r="BI157" s="42"/>
      <c r="BJ157" s="42"/>
      <c r="BK157" s="42"/>
      <c r="BL157" s="42"/>
      <c r="BM157" s="42"/>
      <c r="BN157" s="42"/>
      <c r="BO157" s="42">
        <v>0.45019999999999999</v>
      </c>
      <c r="BP157" s="42">
        <v>0.54979999999999996</v>
      </c>
      <c r="BQ157" s="42">
        <v>0.10199999999999999</v>
      </c>
      <c r="BR157" s="42">
        <v>0.16300000000000001</v>
      </c>
      <c r="BS157" s="42">
        <v>4.2999999999999997E-2</v>
      </c>
      <c r="BT157" s="42"/>
      <c r="BU157" s="42">
        <v>8.5999999999999993E-2</v>
      </c>
      <c r="BV157" s="42">
        <v>5.62E-2</v>
      </c>
      <c r="BW157" s="39"/>
      <c r="BX157" s="39"/>
      <c r="BY157" s="39"/>
      <c r="BZ157" s="39"/>
      <c r="CA157" s="39"/>
      <c r="CB157" s="27" t="s">
        <v>96</v>
      </c>
      <c r="CC157" s="27" t="s">
        <v>96</v>
      </c>
      <c r="CD157" s="27" t="s">
        <v>96</v>
      </c>
      <c r="CE157" s="27" t="s">
        <v>796</v>
      </c>
      <c r="CF157" s="27" t="s">
        <v>96</v>
      </c>
      <c r="CG157" s="27" t="s">
        <v>96</v>
      </c>
      <c r="CH157" s="27" t="s">
        <v>96</v>
      </c>
      <c r="CI157" s="27" t="s">
        <v>797</v>
      </c>
      <c r="CJ157" s="27" t="s">
        <v>798</v>
      </c>
      <c r="CK157" s="27"/>
      <c r="CL157" s="27" t="s">
        <v>96</v>
      </c>
      <c r="CM157" s="27" t="s">
        <v>799</v>
      </c>
      <c r="CN157" s="27" t="s">
        <v>96</v>
      </c>
      <c r="CO157" s="27"/>
      <c r="CP157" s="27"/>
      <c r="CQ157" s="27"/>
      <c r="CR157" s="43" t="s">
        <v>96</v>
      </c>
      <c r="CS157" s="43" t="s">
        <v>96</v>
      </c>
      <c r="CT157" s="43"/>
      <c r="CU157" s="43"/>
      <c r="CV157" s="43"/>
      <c r="CW157" s="43"/>
      <c r="CX157" s="43"/>
      <c r="CY157" s="43" t="s">
        <v>1723</v>
      </c>
      <c r="CZ157" s="43" t="s">
        <v>109</v>
      </c>
      <c r="DA157" s="43" t="s">
        <v>1470</v>
      </c>
      <c r="DB157" s="43"/>
      <c r="DC157" s="43"/>
      <c r="DD157" s="43"/>
      <c r="DE157" s="43"/>
      <c r="DF157" s="43"/>
    </row>
    <row r="158" spans="1:110" ht="14">
      <c r="A158" s="27" t="s">
        <v>800</v>
      </c>
      <c r="B158" s="27" t="s">
        <v>1713</v>
      </c>
      <c r="C158" s="27" t="s">
        <v>801</v>
      </c>
      <c r="D158" s="27" t="s">
        <v>122</v>
      </c>
      <c r="E158" s="27" t="s">
        <v>122</v>
      </c>
      <c r="F158" s="39">
        <v>695607522885</v>
      </c>
      <c r="G158" s="39">
        <v>37957529</v>
      </c>
      <c r="H158" s="40">
        <v>2022</v>
      </c>
      <c r="I158" s="39">
        <v>13474922.795</v>
      </c>
      <c r="J158" s="27" t="s">
        <v>94</v>
      </c>
      <c r="K158" s="41">
        <v>0.9726027397260274</v>
      </c>
      <c r="L158" s="39">
        <v>13474922.795000002</v>
      </c>
      <c r="M158" s="39">
        <v>37957529</v>
      </c>
      <c r="N158" s="41">
        <v>0.9726027397260274</v>
      </c>
      <c r="O158" s="39">
        <v>14324017.498090914</v>
      </c>
      <c r="P158" s="39">
        <v>37286854</v>
      </c>
      <c r="Q158" s="41">
        <v>1.0524857784036556</v>
      </c>
      <c r="R158" s="39">
        <v>14431632.615928482</v>
      </c>
      <c r="S158" s="39">
        <v>35290711</v>
      </c>
      <c r="T158" s="41">
        <v>1.1203718592038137</v>
      </c>
      <c r="U158" s="39">
        <v>13883673.916750686</v>
      </c>
      <c r="V158" s="39">
        <v>32939440.000000004</v>
      </c>
      <c r="W158" s="41">
        <v>1.1547695645590306</v>
      </c>
      <c r="X158" s="42">
        <v>0.28899999999999998</v>
      </c>
      <c r="Y158" s="42">
        <v>0.1</v>
      </c>
      <c r="Z158" s="42">
        <v>2.5999999999999999E-2</v>
      </c>
      <c r="AA158" s="42">
        <v>0.191</v>
      </c>
      <c r="AB158" s="42">
        <v>0.151</v>
      </c>
      <c r="AC158" s="42"/>
      <c r="AD158" s="42">
        <v>2E-3</v>
      </c>
      <c r="AE158" s="42">
        <v>5.2999999999999999E-2</v>
      </c>
      <c r="AF158" s="42">
        <v>2.3E-2</v>
      </c>
      <c r="AG158" s="42"/>
      <c r="AH158" s="42">
        <v>8.0000000000000002E-3</v>
      </c>
      <c r="AI158" s="42"/>
      <c r="AJ158" s="42">
        <v>0.16</v>
      </c>
      <c r="AK158" s="39">
        <v>3600000</v>
      </c>
      <c r="AL158" s="39">
        <v>281119</v>
      </c>
      <c r="AM158" s="39">
        <v>12018000</v>
      </c>
      <c r="AN158" s="39">
        <v>517000</v>
      </c>
      <c r="AO158" s="39">
        <v>2254848</v>
      </c>
      <c r="AP158" s="39">
        <v>21342000</v>
      </c>
      <c r="AQ158" s="39">
        <v>61315000</v>
      </c>
      <c r="AR158" s="39">
        <v>482519</v>
      </c>
      <c r="AS158" s="42"/>
      <c r="AT158" s="42"/>
      <c r="AU158" s="42"/>
      <c r="AV158" s="42"/>
      <c r="AW158" s="42"/>
      <c r="AX158" s="42"/>
      <c r="AY158" s="42"/>
      <c r="AZ158" s="42"/>
      <c r="BA158" s="42"/>
      <c r="BB158" s="42"/>
      <c r="BC158" s="42"/>
      <c r="BD158" s="42"/>
      <c r="BE158" s="42"/>
      <c r="BF158" s="42">
        <v>0.38100000000000001</v>
      </c>
      <c r="BG158" s="42"/>
      <c r="BH158" s="42"/>
      <c r="BI158" s="42">
        <v>0.14000000000000001</v>
      </c>
      <c r="BJ158" s="42">
        <v>0.26700000000000002</v>
      </c>
      <c r="BK158" s="42">
        <v>0.21</v>
      </c>
      <c r="BL158" s="42"/>
      <c r="BM158" s="42"/>
      <c r="BN158" s="42"/>
      <c r="BO158" s="42"/>
      <c r="BP158" s="42"/>
      <c r="BQ158" s="42"/>
      <c r="BR158" s="42"/>
      <c r="BS158" s="42"/>
      <c r="BT158" s="42"/>
      <c r="BU158" s="42"/>
      <c r="BV158" s="42"/>
      <c r="BW158" s="39">
        <v>74698</v>
      </c>
      <c r="BX158" s="39"/>
      <c r="BY158" s="39"/>
      <c r="BZ158" s="39"/>
      <c r="CA158" s="39"/>
      <c r="CB158" s="27" t="s">
        <v>96</v>
      </c>
      <c r="CC158" s="27" t="s">
        <v>96</v>
      </c>
      <c r="CD158" s="27" t="s">
        <v>96</v>
      </c>
      <c r="CE158" s="27" t="s">
        <v>248</v>
      </c>
      <c r="CF158" s="27" t="s">
        <v>96</v>
      </c>
      <c r="CG158" s="27" t="s">
        <v>96</v>
      </c>
      <c r="CH158" s="27" t="s">
        <v>96</v>
      </c>
      <c r="CI158" s="27" t="s">
        <v>802</v>
      </c>
      <c r="CJ158" s="27" t="s">
        <v>803</v>
      </c>
      <c r="CK158" s="27"/>
      <c r="CL158" s="27" t="s">
        <v>96</v>
      </c>
      <c r="CM158" s="27" t="s">
        <v>804</v>
      </c>
      <c r="CN158" s="27" t="s">
        <v>96</v>
      </c>
      <c r="CO158" s="27"/>
      <c r="CP158" s="27" t="s">
        <v>96</v>
      </c>
      <c r="CQ158" s="27"/>
      <c r="CR158" s="43" t="s">
        <v>96</v>
      </c>
      <c r="CS158" s="43" t="s">
        <v>96</v>
      </c>
      <c r="CT158" s="43"/>
      <c r="CU158" s="43" t="s">
        <v>96</v>
      </c>
      <c r="CV158" s="43" t="s">
        <v>96</v>
      </c>
      <c r="CW158" s="43" t="s">
        <v>96</v>
      </c>
      <c r="CX158" s="43" t="s">
        <v>96</v>
      </c>
      <c r="CY158" s="43" t="s">
        <v>1723</v>
      </c>
      <c r="CZ158" s="43" t="s">
        <v>109</v>
      </c>
      <c r="DA158" s="43" t="s">
        <v>1470</v>
      </c>
      <c r="DB158" s="43" t="s">
        <v>96</v>
      </c>
      <c r="DC158" s="43" t="s">
        <v>168</v>
      </c>
      <c r="DD158" s="43" t="s">
        <v>1472</v>
      </c>
      <c r="DE158" s="43" t="s">
        <v>109</v>
      </c>
      <c r="DF158" s="43" t="s">
        <v>197</v>
      </c>
    </row>
    <row r="159" spans="1:110" ht="14">
      <c r="A159" s="27" t="s">
        <v>805</v>
      </c>
      <c r="B159" s="27" t="s">
        <v>1713</v>
      </c>
      <c r="C159" s="27" t="s">
        <v>806</v>
      </c>
      <c r="D159" s="27" t="s">
        <v>122</v>
      </c>
      <c r="E159" s="27" t="s">
        <v>122</v>
      </c>
      <c r="F159" s="39">
        <v>256898675069</v>
      </c>
      <c r="G159" s="39">
        <v>10403320</v>
      </c>
      <c r="H159" s="40">
        <v>2022</v>
      </c>
      <c r="I159" s="39">
        <v>5274483.24</v>
      </c>
      <c r="J159" s="27" t="s">
        <v>94</v>
      </c>
      <c r="K159" s="41">
        <v>1.3890410958904109</v>
      </c>
      <c r="L159" s="39">
        <v>5274483.24</v>
      </c>
      <c r="M159" s="39">
        <v>10403320</v>
      </c>
      <c r="N159" s="41">
        <v>1.3890410958904109</v>
      </c>
      <c r="O159" s="39">
        <v>5586251.5485423692</v>
      </c>
      <c r="P159" s="39">
        <v>10327304</v>
      </c>
      <c r="Q159" s="41">
        <v>1.4819742658035222</v>
      </c>
      <c r="R159" s="39">
        <v>5776493.5966627402</v>
      </c>
      <c r="S159" s="39">
        <v>10096396</v>
      </c>
      <c r="T159" s="41">
        <v>1.5674909991516301</v>
      </c>
      <c r="U159" s="39">
        <v>5840533.8097674306</v>
      </c>
      <c r="V159" s="39">
        <v>9788033</v>
      </c>
      <c r="W159" s="41">
        <v>1.6347985844054171</v>
      </c>
      <c r="X159" s="42">
        <v>0.38769999999999999</v>
      </c>
      <c r="Y159" s="42">
        <v>7.1499999999999994E-2</v>
      </c>
      <c r="Z159" s="42">
        <v>1.49E-2</v>
      </c>
      <c r="AA159" s="42">
        <v>8.8400000000000006E-2</v>
      </c>
      <c r="AB159" s="42">
        <v>0.1021</v>
      </c>
      <c r="AC159" s="42"/>
      <c r="AD159" s="42">
        <v>1.06E-2</v>
      </c>
      <c r="AE159" s="42">
        <v>2.1899999999999999E-2</v>
      </c>
      <c r="AF159" s="42">
        <v>3.9199999999999999E-2</v>
      </c>
      <c r="AG159" s="42"/>
      <c r="AH159" s="42">
        <v>6.9999999999999999E-4</v>
      </c>
      <c r="AI159" s="42">
        <v>8.6400000000000005E-2</v>
      </c>
      <c r="AJ159" s="42">
        <v>0.1759</v>
      </c>
      <c r="AK159" s="39">
        <v>1082000</v>
      </c>
      <c r="AL159" s="39">
        <v>94347</v>
      </c>
      <c r="AM159" s="39">
        <v>1780360</v>
      </c>
      <c r="AN159" s="39">
        <v>6924</v>
      </c>
      <c r="AO159" s="39">
        <v>935261</v>
      </c>
      <c r="AP159" s="39">
        <v>2950436</v>
      </c>
      <c r="AQ159" s="39">
        <v>24741</v>
      </c>
      <c r="AR159" s="39">
        <v>47976</v>
      </c>
      <c r="AS159" s="42"/>
      <c r="AT159" s="42"/>
      <c r="AU159" s="42"/>
      <c r="AV159" s="42"/>
      <c r="AW159" s="42"/>
      <c r="AX159" s="42"/>
      <c r="AY159" s="42"/>
      <c r="AZ159" s="42"/>
      <c r="BA159" s="42"/>
      <c r="BB159" s="42"/>
      <c r="BC159" s="42"/>
      <c r="BD159" s="42"/>
      <c r="BE159" s="42"/>
      <c r="BF159" s="42">
        <v>0.56999999999999995</v>
      </c>
      <c r="BG159" s="42"/>
      <c r="BH159" s="42"/>
      <c r="BI159" s="42">
        <v>0.08</v>
      </c>
      <c r="BJ159" s="42">
        <v>0.16</v>
      </c>
      <c r="BK159" s="42">
        <v>0.15</v>
      </c>
      <c r="BL159" s="42"/>
      <c r="BM159" s="42"/>
      <c r="BN159" s="42">
        <v>0.02</v>
      </c>
      <c r="BO159" s="42"/>
      <c r="BP159" s="42">
        <v>0.02</v>
      </c>
      <c r="BQ159" s="42"/>
      <c r="BR159" s="42"/>
      <c r="BS159" s="42"/>
      <c r="BT159" s="42"/>
      <c r="BU159" s="42"/>
      <c r="BV159" s="42"/>
      <c r="BW159" s="39">
        <v>19302</v>
      </c>
      <c r="BX159" s="39"/>
      <c r="BY159" s="39"/>
      <c r="BZ159" s="39"/>
      <c r="CA159" s="39"/>
      <c r="CB159" s="27" t="s">
        <v>96</v>
      </c>
      <c r="CC159" s="27" t="s">
        <v>96</v>
      </c>
      <c r="CD159" s="27" t="s">
        <v>96</v>
      </c>
      <c r="CE159" s="27" t="s">
        <v>807</v>
      </c>
      <c r="CF159" s="27" t="s">
        <v>96</v>
      </c>
      <c r="CG159" s="27" t="s">
        <v>96</v>
      </c>
      <c r="CH159" s="27" t="s">
        <v>96</v>
      </c>
      <c r="CI159" s="27" t="s">
        <v>808</v>
      </c>
      <c r="CJ159" s="27" t="s">
        <v>809</v>
      </c>
      <c r="CK159" s="27"/>
      <c r="CL159" s="27" t="s">
        <v>96</v>
      </c>
      <c r="CM159" s="27" t="s">
        <v>166</v>
      </c>
      <c r="CN159" s="27" t="s">
        <v>96</v>
      </c>
      <c r="CO159" s="27"/>
      <c r="CP159" s="27" t="s">
        <v>96</v>
      </c>
      <c r="CQ159" s="27"/>
      <c r="CR159" s="43" t="s">
        <v>96</v>
      </c>
      <c r="CS159" s="43" t="s">
        <v>96</v>
      </c>
      <c r="CT159" s="43"/>
      <c r="CU159" s="43" t="s">
        <v>96</v>
      </c>
      <c r="CV159" s="43" t="s">
        <v>96</v>
      </c>
      <c r="CW159" s="43" t="s">
        <v>96</v>
      </c>
      <c r="CX159" s="43" t="s">
        <v>96</v>
      </c>
      <c r="CY159" s="43" t="s">
        <v>1723</v>
      </c>
      <c r="CZ159" s="43" t="s">
        <v>109</v>
      </c>
      <c r="DA159" s="43" t="s">
        <v>1470</v>
      </c>
      <c r="DB159" s="43" t="s">
        <v>96</v>
      </c>
      <c r="DC159" s="43" t="s">
        <v>168</v>
      </c>
      <c r="DD159" s="43" t="s">
        <v>1435</v>
      </c>
      <c r="DE159" s="43" t="s">
        <v>109</v>
      </c>
      <c r="DF159" s="43" t="s">
        <v>197</v>
      </c>
    </row>
    <row r="160" spans="1:110" ht="14">
      <c r="A160" s="27" t="s">
        <v>810</v>
      </c>
      <c r="B160" s="27" t="s">
        <v>1714</v>
      </c>
      <c r="C160" s="27" t="s">
        <v>811</v>
      </c>
      <c r="D160" s="27" t="s">
        <v>122</v>
      </c>
      <c r="E160" s="27" t="s">
        <v>122</v>
      </c>
      <c r="F160" s="39">
        <v>89524131600</v>
      </c>
      <c r="G160" s="39">
        <v>3769818</v>
      </c>
      <c r="H160" s="40">
        <v>2007</v>
      </c>
      <c r="I160" s="39">
        <v>3026032.5</v>
      </c>
      <c r="J160" s="27" t="s">
        <v>94</v>
      </c>
      <c r="K160" s="41">
        <v>2.1991777852405607</v>
      </c>
      <c r="L160" s="39">
        <v>2616935.427961946</v>
      </c>
      <c r="M160" s="39">
        <v>3241925</v>
      </c>
      <c r="N160" s="41">
        <v>2.2115521191900895</v>
      </c>
      <c r="O160" s="39">
        <v>2663629.6419403059</v>
      </c>
      <c r="P160" s="39">
        <v>3153595</v>
      </c>
      <c r="Q160" s="41">
        <v>2.3140623502290878</v>
      </c>
      <c r="R160" s="39">
        <v>2547779.2974275835</v>
      </c>
      <c r="S160" s="39">
        <v>2870238</v>
      </c>
      <c r="T160" s="41">
        <v>2.4319297748919273</v>
      </c>
      <c r="U160" s="39">
        <v>2320696.9066783721</v>
      </c>
      <c r="V160" s="39">
        <v>2522118</v>
      </c>
      <c r="W160" s="41">
        <v>2.5209263471919425</v>
      </c>
      <c r="X160" s="42">
        <v>0.13</v>
      </c>
      <c r="Y160" s="42">
        <v>0.02</v>
      </c>
      <c r="Z160" s="42">
        <v>0.1</v>
      </c>
      <c r="AA160" s="42">
        <v>0.19</v>
      </c>
      <c r="AB160" s="42">
        <v>0.1</v>
      </c>
      <c r="AC160" s="42"/>
      <c r="AD160" s="42"/>
      <c r="AE160" s="42">
        <v>0.216</v>
      </c>
      <c r="AF160" s="42"/>
      <c r="AG160" s="42"/>
      <c r="AH160" s="42">
        <v>0.01</v>
      </c>
      <c r="AI160" s="42"/>
      <c r="AJ160" s="42">
        <v>0.23</v>
      </c>
      <c r="AK160" s="39">
        <v>302603.25</v>
      </c>
      <c r="AL160" s="39"/>
      <c r="AM160" s="39"/>
      <c r="AN160" s="39">
        <v>65000</v>
      </c>
      <c r="AO160" s="39"/>
      <c r="AP160" s="39"/>
      <c r="AQ160" s="39"/>
      <c r="AR160" s="39"/>
      <c r="AS160" s="42"/>
      <c r="AT160" s="42"/>
      <c r="AU160" s="42"/>
      <c r="AV160" s="42"/>
      <c r="AW160" s="42"/>
      <c r="AX160" s="42"/>
      <c r="AY160" s="42"/>
      <c r="AZ160" s="42"/>
      <c r="BA160" s="42"/>
      <c r="BB160" s="42"/>
      <c r="BC160" s="42"/>
      <c r="BD160" s="42">
        <v>0.86</v>
      </c>
      <c r="BE160" s="42"/>
      <c r="BF160" s="42"/>
      <c r="BG160" s="42"/>
      <c r="BH160" s="42"/>
      <c r="BI160" s="42"/>
      <c r="BJ160" s="42">
        <v>0.14000000000000001</v>
      </c>
      <c r="BK160" s="42"/>
      <c r="BL160" s="42"/>
      <c r="BM160" s="42"/>
      <c r="BN160" s="42"/>
      <c r="BO160" s="42"/>
      <c r="BP160" s="42"/>
      <c r="BQ160" s="42"/>
      <c r="BR160" s="42"/>
      <c r="BS160" s="42"/>
      <c r="BT160" s="42"/>
      <c r="BU160" s="42"/>
      <c r="BV160" s="42"/>
      <c r="BW160" s="39">
        <v>6600</v>
      </c>
      <c r="BX160" s="39"/>
      <c r="BY160" s="39"/>
      <c r="BZ160" s="39"/>
      <c r="CA160" s="39"/>
      <c r="CB160" s="27"/>
      <c r="CC160" s="27" t="s">
        <v>96</v>
      </c>
      <c r="CD160" s="27"/>
      <c r="CE160" s="27"/>
      <c r="CF160" s="27" t="s">
        <v>96</v>
      </c>
      <c r="CG160" s="27" t="s">
        <v>96</v>
      </c>
      <c r="CH160" s="27" t="s">
        <v>96</v>
      </c>
      <c r="CI160" s="27"/>
      <c r="CJ160" s="27" t="s">
        <v>123</v>
      </c>
      <c r="CK160" s="27"/>
      <c r="CL160" s="27" t="s">
        <v>96</v>
      </c>
      <c r="CM160" s="27" t="s">
        <v>812</v>
      </c>
      <c r="CN160" s="27"/>
      <c r="CO160" s="27"/>
      <c r="CP160" s="27"/>
      <c r="CQ160" s="27"/>
      <c r="CR160" s="43"/>
      <c r="CS160" s="43"/>
      <c r="CT160" s="43"/>
      <c r="CU160" s="43"/>
      <c r="CV160" s="43"/>
      <c r="CW160" s="43"/>
      <c r="CX160" s="43"/>
      <c r="CY160" s="43"/>
      <c r="CZ160" s="43"/>
      <c r="DA160" s="43"/>
      <c r="DB160" s="43"/>
      <c r="DC160" s="43"/>
      <c r="DD160" s="43"/>
      <c r="DE160" s="43"/>
      <c r="DF160" s="43"/>
    </row>
    <row r="161" spans="1:110" ht="14">
      <c r="A161" s="27" t="s">
        <v>813</v>
      </c>
      <c r="B161" t="s">
        <v>1715</v>
      </c>
      <c r="C161" s="27" t="s">
        <v>814</v>
      </c>
      <c r="D161" s="27" t="s">
        <v>122</v>
      </c>
      <c r="E161" s="27" t="s">
        <v>122</v>
      </c>
      <c r="F161" s="39">
        <v>144411363351.64999</v>
      </c>
      <c r="G161" s="39">
        <v>2815984</v>
      </c>
      <c r="H161" s="40">
        <v>2020</v>
      </c>
      <c r="I161" s="39">
        <v>1298850</v>
      </c>
      <c r="J161" s="27" t="s">
        <v>102</v>
      </c>
      <c r="K161" s="41">
        <v>1.2636766226956304</v>
      </c>
      <c r="L161" s="39">
        <v>1328224.1133707336</v>
      </c>
      <c r="M161" s="39">
        <v>2839198</v>
      </c>
      <c r="N161" s="41">
        <v>1.2816894678069115</v>
      </c>
      <c r="O161" s="39">
        <v>1581399.3745367362</v>
      </c>
      <c r="P161" s="39">
        <v>3316996</v>
      </c>
      <c r="Q161" s="41">
        <v>1.306182167879625</v>
      </c>
      <c r="R161" s="39">
        <v>1766589.7177644342</v>
      </c>
      <c r="S161" s="39">
        <v>3690422</v>
      </c>
      <c r="T161" s="41">
        <v>1.3114954954993225</v>
      </c>
      <c r="U161" s="39">
        <v>1979563.7258319578</v>
      </c>
      <c r="V161" s="39">
        <v>4140482</v>
      </c>
      <c r="W161" s="41">
        <v>1.3098625383598597</v>
      </c>
      <c r="X161" s="42">
        <v>0.56999999999999995</v>
      </c>
      <c r="Y161" s="42">
        <v>0.04</v>
      </c>
      <c r="Z161" s="42">
        <v>0.09</v>
      </c>
      <c r="AA161" s="42">
        <v>0.11</v>
      </c>
      <c r="AB161" s="42">
        <v>0.14000000000000001</v>
      </c>
      <c r="AC161" s="42"/>
      <c r="AD161" s="42"/>
      <c r="AE161" s="42"/>
      <c r="AF161" s="42"/>
      <c r="AG161" s="42"/>
      <c r="AH161" s="42"/>
      <c r="AI161" s="42"/>
      <c r="AJ161" s="42">
        <v>0.05</v>
      </c>
      <c r="AK161" s="39"/>
      <c r="AL161" s="39"/>
      <c r="AM161" s="39">
        <v>7991536.6600000001</v>
      </c>
      <c r="AN161" s="39">
        <v>44000</v>
      </c>
      <c r="AO161" s="39">
        <v>100005</v>
      </c>
      <c r="AP161" s="39"/>
      <c r="AQ161" s="39"/>
      <c r="AR161" s="39"/>
      <c r="AS161" s="42"/>
      <c r="AT161" s="42"/>
      <c r="AU161" s="42"/>
      <c r="AV161" s="42">
        <v>1</v>
      </c>
      <c r="AW161" s="42"/>
      <c r="AX161" s="42"/>
      <c r="AY161" s="42">
        <v>1</v>
      </c>
      <c r="AZ161" s="42">
        <v>1</v>
      </c>
      <c r="BA161" s="42"/>
      <c r="BB161" s="42">
        <v>1</v>
      </c>
      <c r="BC161" s="42"/>
      <c r="BD161" s="42"/>
      <c r="BE161" s="42"/>
      <c r="BF161" s="42"/>
      <c r="BG161" s="42">
        <v>0.99686722870231403</v>
      </c>
      <c r="BH161" s="42"/>
      <c r="BI161" s="42"/>
      <c r="BJ161" s="42">
        <v>3.1327712976864102E-3</v>
      </c>
      <c r="BK161" s="42"/>
      <c r="BL161" s="42"/>
      <c r="BM161" s="42"/>
      <c r="BN161" s="42"/>
      <c r="BO161" s="42"/>
      <c r="BP161" s="42"/>
      <c r="BQ161" s="42"/>
      <c r="BR161" s="42"/>
      <c r="BS161" s="42"/>
      <c r="BT161" s="42"/>
      <c r="BU161" s="42"/>
      <c r="BV161" s="42"/>
      <c r="BW161" s="39">
        <v>4573</v>
      </c>
      <c r="BX161" s="39">
        <v>69</v>
      </c>
      <c r="BY161" s="39"/>
      <c r="BZ161" s="39"/>
      <c r="CA161" s="39"/>
      <c r="CB161" s="27" t="s">
        <v>95</v>
      </c>
      <c r="CC161" s="27" t="s">
        <v>96</v>
      </c>
      <c r="CD161" s="27"/>
      <c r="CE161" s="27" t="s">
        <v>815</v>
      </c>
      <c r="CF161" s="27" t="s">
        <v>96</v>
      </c>
      <c r="CG161" s="27" t="s">
        <v>96</v>
      </c>
      <c r="CH161" s="27" t="s">
        <v>95</v>
      </c>
      <c r="CI161" s="27"/>
      <c r="CJ161" s="27" t="s">
        <v>123</v>
      </c>
      <c r="CK161" s="27" t="s">
        <v>96</v>
      </c>
      <c r="CL161" s="27" t="s">
        <v>96</v>
      </c>
      <c r="CM161" s="27" t="s">
        <v>816</v>
      </c>
      <c r="CN161" s="27"/>
      <c r="CO161" s="27"/>
      <c r="CP161" s="27"/>
      <c r="CQ161" s="27"/>
      <c r="CR161" s="43"/>
      <c r="CS161" s="43"/>
      <c r="CT161" s="43"/>
      <c r="CU161" s="43"/>
      <c r="CV161" s="43"/>
      <c r="CW161" s="43"/>
      <c r="CX161" s="43"/>
      <c r="CY161" s="43"/>
      <c r="CZ161" s="43"/>
      <c r="DA161" s="43"/>
      <c r="DB161" s="43"/>
      <c r="DC161" s="43"/>
      <c r="DD161" s="43"/>
      <c r="DE161" s="43"/>
      <c r="DF161" s="43"/>
    </row>
    <row r="162" spans="1:110" ht="14">
      <c r="A162" s="27" t="s">
        <v>817</v>
      </c>
      <c r="B162" s="27" t="s">
        <v>1713</v>
      </c>
      <c r="C162" s="27" t="s">
        <v>818</v>
      </c>
      <c r="D162" s="27" t="s">
        <v>122</v>
      </c>
      <c r="E162" s="27" t="s">
        <v>122</v>
      </c>
      <c r="F162" s="39">
        <v>296354358293</v>
      </c>
      <c r="G162" s="39">
        <v>19164426</v>
      </c>
      <c r="H162" s="40">
        <v>2022</v>
      </c>
      <c r="I162" s="39">
        <v>5742000</v>
      </c>
      <c r="J162" s="27" t="s">
        <v>94</v>
      </c>
      <c r="K162" s="41">
        <v>0.82087023369836742</v>
      </c>
      <c r="L162" s="39">
        <v>5742000</v>
      </c>
      <c r="M162" s="39">
        <v>19164426</v>
      </c>
      <c r="N162" s="41">
        <v>0.82087023369836742</v>
      </c>
      <c r="O162" s="39">
        <v>6014333.6587337861</v>
      </c>
      <c r="P162" s="39">
        <v>18415185</v>
      </c>
      <c r="Q162" s="41">
        <v>0.8947847367422237</v>
      </c>
      <c r="R162" s="39">
        <v>6020036.9114634339</v>
      </c>
      <c r="S162" s="39">
        <v>17268195</v>
      </c>
      <c r="T162" s="41">
        <v>0.95512309261208739</v>
      </c>
      <c r="U162" s="39">
        <v>5816033.7794521563</v>
      </c>
      <c r="V162" s="39">
        <v>16086598</v>
      </c>
      <c r="W162" s="41">
        <v>0.99053504798135239</v>
      </c>
      <c r="X162" s="42">
        <v>0.56489999999999996</v>
      </c>
      <c r="Y162" s="42">
        <v>5.8799999999999998E-2</v>
      </c>
      <c r="Z162" s="42">
        <v>4.4900000000000002E-2</v>
      </c>
      <c r="AA162" s="42">
        <v>0.14510000000000001</v>
      </c>
      <c r="AB162" s="42">
        <v>0.13300000000000001</v>
      </c>
      <c r="AC162" s="42"/>
      <c r="AD162" s="42">
        <v>2.9399999999999999E-2</v>
      </c>
      <c r="AE162" s="42"/>
      <c r="AF162" s="42"/>
      <c r="AG162" s="42">
        <v>9.1000000000000004E-3</v>
      </c>
      <c r="AH162" s="42"/>
      <c r="AI162" s="42"/>
      <c r="AJ162" s="42">
        <v>1.4800000000000001E-2</v>
      </c>
      <c r="AK162" s="39">
        <v>890707</v>
      </c>
      <c r="AL162" s="39">
        <v>720130</v>
      </c>
      <c r="AM162" s="39">
        <v>1184293</v>
      </c>
      <c r="AN162" s="39">
        <v>89510.172000000006</v>
      </c>
      <c r="AO162" s="39">
        <v>242240</v>
      </c>
      <c r="AP162" s="39">
        <v>806880</v>
      </c>
      <c r="AQ162" s="39">
        <v>119156621</v>
      </c>
      <c r="AR162" s="39">
        <v>36632</v>
      </c>
      <c r="AS162" s="42"/>
      <c r="AT162" s="42"/>
      <c r="AU162" s="42"/>
      <c r="AV162" s="42">
        <v>0.91</v>
      </c>
      <c r="AW162" s="42"/>
      <c r="AX162" s="42"/>
      <c r="AY162" s="42">
        <v>0.95240000000000002</v>
      </c>
      <c r="AZ162" s="42"/>
      <c r="BA162" s="42"/>
      <c r="BB162" s="42">
        <v>0.98899999999999999</v>
      </c>
      <c r="BC162" s="42"/>
      <c r="BD162" s="42"/>
      <c r="BE162" s="42"/>
      <c r="BF162" s="42"/>
      <c r="BG162" s="42">
        <v>0.78832252085264098</v>
      </c>
      <c r="BH162" s="42"/>
      <c r="BI162" s="42">
        <v>5.3938832252085303E-2</v>
      </c>
      <c r="BJ162" s="42">
        <v>7.4328081556997203E-2</v>
      </c>
      <c r="BK162" s="42">
        <v>7.9518072289156597E-2</v>
      </c>
      <c r="BL162" s="42"/>
      <c r="BM162" s="42"/>
      <c r="BN162" s="42"/>
      <c r="BO162" s="42"/>
      <c r="BP162" s="42">
        <v>3.8924930491195599E-3</v>
      </c>
      <c r="BQ162" s="42"/>
      <c r="BR162" s="42"/>
      <c r="BS162" s="42"/>
      <c r="BT162" s="42"/>
      <c r="BU162" s="42"/>
      <c r="BV162" s="42"/>
      <c r="BW162" s="39">
        <v>49480</v>
      </c>
      <c r="BX162" s="39"/>
      <c r="BY162" s="39"/>
      <c r="BZ162" s="39"/>
      <c r="CA162" s="39"/>
      <c r="CB162" s="27" t="s">
        <v>96</v>
      </c>
      <c r="CC162" s="27" t="s">
        <v>96</v>
      </c>
      <c r="CD162" s="27" t="s">
        <v>96</v>
      </c>
      <c r="CE162" s="27" t="s">
        <v>819</v>
      </c>
      <c r="CF162" s="27" t="s">
        <v>96</v>
      </c>
      <c r="CG162" s="27" t="s">
        <v>96</v>
      </c>
      <c r="CH162" s="27" t="s">
        <v>96</v>
      </c>
      <c r="CI162" s="27" t="s">
        <v>820</v>
      </c>
      <c r="CJ162" s="27" t="s">
        <v>1597</v>
      </c>
      <c r="CK162" s="27"/>
      <c r="CL162" s="27" t="s">
        <v>96</v>
      </c>
      <c r="CM162" s="27" t="s">
        <v>821</v>
      </c>
      <c r="CN162" s="27" t="s">
        <v>96</v>
      </c>
      <c r="CO162" s="27"/>
      <c r="CP162" s="27" t="s">
        <v>96</v>
      </c>
      <c r="CQ162" s="27"/>
      <c r="CR162" s="43" t="s">
        <v>96</v>
      </c>
      <c r="CS162" s="43" t="s">
        <v>96</v>
      </c>
      <c r="CT162" s="43"/>
      <c r="CU162" s="43" t="s">
        <v>96</v>
      </c>
      <c r="CV162" s="43" t="s">
        <v>96</v>
      </c>
      <c r="CW162" s="43" t="s">
        <v>96</v>
      </c>
      <c r="CX162" s="43" t="s">
        <v>96</v>
      </c>
      <c r="CY162" s="43" t="s">
        <v>1723</v>
      </c>
      <c r="CZ162" s="43" t="s">
        <v>109</v>
      </c>
      <c r="DA162" s="43" t="s">
        <v>1470</v>
      </c>
      <c r="DB162" s="43" t="s">
        <v>96</v>
      </c>
      <c r="DC162" s="43" t="s">
        <v>168</v>
      </c>
      <c r="DD162" s="43" t="s">
        <v>1472</v>
      </c>
      <c r="DE162" s="43" t="s">
        <v>109</v>
      </c>
      <c r="DF162" s="43" t="s">
        <v>1470</v>
      </c>
    </row>
    <row r="163" spans="1:110" ht="14">
      <c r="A163" s="27" t="s">
        <v>822</v>
      </c>
      <c r="B163" s="27" t="s">
        <v>1713</v>
      </c>
      <c r="C163" s="27" t="s">
        <v>823</v>
      </c>
      <c r="D163" s="27" t="s">
        <v>1650</v>
      </c>
      <c r="E163" s="27" t="s">
        <v>1650</v>
      </c>
      <c r="F163" s="39">
        <v>2291612121335</v>
      </c>
      <c r="G163" s="39">
        <v>145484378</v>
      </c>
      <c r="H163" s="40">
        <v>2022</v>
      </c>
      <c r="I163" s="39">
        <v>45867400</v>
      </c>
      <c r="J163" s="27" t="s">
        <v>94</v>
      </c>
      <c r="K163" s="41">
        <v>0.86376359659070134</v>
      </c>
      <c r="L163" s="39">
        <v>45867400.000000007</v>
      </c>
      <c r="M163" s="39">
        <v>145484378</v>
      </c>
      <c r="N163" s="41">
        <v>0.86376359659070134</v>
      </c>
      <c r="O163" s="39">
        <v>47288997.839508317</v>
      </c>
      <c r="P163" s="39">
        <v>142089382</v>
      </c>
      <c r="Q163" s="41">
        <v>0.91181266585024445</v>
      </c>
      <c r="R163" s="39">
        <v>49134500.030068882</v>
      </c>
      <c r="S163" s="39">
        <v>138415363</v>
      </c>
      <c r="T163" s="41">
        <v>0.97254427296145729</v>
      </c>
      <c r="U163" s="39">
        <v>50687761.991714709</v>
      </c>
      <c r="V163" s="39">
        <v>136256184</v>
      </c>
      <c r="W163" s="41">
        <v>1.0191873625289432</v>
      </c>
      <c r="X163" s="42">
        <v>0.34</v>
      </c>
      <c r="Y163" s="42">
        <v>0.12</v>
      </c>
      <c r="Z163" s="42">
        <v>0.04</v>
      </c>
      <c r="AA163" s="42">
        <v>0.19</v>
      </c>
      <c r="AB163" s="42">
        <v>0.14000000000000001</v>
      </c>
      <c r="AC163" s="42"/>
      <c r="AD163" s="42"/>
      <c r="AE163" s="42">
        <v>0.06</v>
      </c>
      <c r="AF163" s="42"/>
      <c r="AG163" s="42"/>
      <c r="AH163" s="42"/>
      <c r="AI163" s="42"/>
      <c r="AJ163" s="42">
        <v>0.11</v>
      </c>
      <c r="AK163" s="39"/>
      <c r="AL163" s="39">
        <v>16413300</v>
      </c>
      <c r="AM163" s="39">
        <v>58137100</v>
      </c>
      <c r="AN163" s="39">
        <v>1910000</v>
      </c>
      <c r="AO163" s="39">
        <v>81100000</v>
      </c>
      <c r="AP163" s="39">
        <v>406551400</v>
      </c>
      <c r="AQ163" s="39">
        <v>8666291700</v>
      </c>
      <c r="AR163" s="39"/>
      <c r="AS163" s="42"/>
      <c r="AT163" s="42"/>
      <c r="AU163" s="42"/>
      <c r="AV163" s="42"/>
      <c r="AW163" s="42"/>
      <c r="AX163" s="42"/>
      <c r="AY163" s="42"/>
      <c r="AZ163" s="42"/>
      <c r="BA163" s="42"/>
      <c r="BB163" s="42"/>
      <c r="BC163" s="42"/>
      <c r="BD163" s="42"/>
      <c r="BE163" s="42">
        <v>0.802476268548032</v>
      </c>
      <c r="BF163" s="42"/>
      <c r="BG163" s="42"/>
      <c r="BH163" s="42"/>
      <c r="BI163" s="42"/>
      <c r="BJ163" s="42">
        <v>6.5674095326964194E-2</v>
      </c>
      <c r="BK163" s="42">
        <v>2.4843352795231501E-2</v>
      </c>
      <c r="BL163" s="42"/>
      <c r="BM163" s="42"/>
      <c r="BN163" s="42"/>
      <c r="BO163" s="42">
        <v>0.107006283329772</v>
      </c>
      <c r="BP163" s="42"/>
      <c r="BQ163" s="42"/>
      <c r="BR163" s="42"/>
      <c r="BS163" s="42"/>
      <c r="BT163" s="42"/>
      <c r="BU163" s="42"/>
      <c r="BV163" s="42"/>
      <c r="BW163" s="39"/>
      <c r="BX163" s="39"/>
      <c r="BY163" s="39"/>
      <c r="BZ163" s="39"/>
      <c r="CA163" s="39"/>
      <c r="CB163" s="27" t="s">
        <v>96</v>
      </c>
      <c r="CC163" s="27" t="s">
        <v>96</v>
      </c>
      <c r="CD163" s="27" t="s">
        <v>96</v>
      </c>
      <c r="CE163" s="27" t="s">
        <v>824</v>
      </c>
      <c r="CF163" s="27" t="s">
        <v>96</v>
      </c>
      <c r="CG163" s="27" t="s">
        <v>96</v>
      </c>
      <c r="CH163" s="27" t="s">
        <v>95</v>
      </c>
      <c r="CI163" s="27"/>
      <c r="CJ163" s="27" t="s">
        <v>1592</v>
      </c>
      <c r="CK163" s="27"/>
      <c r="CL163" s="27" t="s">
        <v>95</v>
      </c>
      <c r="CM163" s="27"/>
      <c r="CN163" s="27" t="s">
        <v>96</v>
      </c>
      <c r="CO163" s="27"/>
      <c r="CP163" s="27"/>
      <c r="CQ163" s="27"/>
      <c r="CR163" s="43" t="s">
        <v>96</v>
      </c>
      <c r="CS163" s="43" t="s">
        <v>96</v>
      </c>
      <c r="CT163" s="43"/>
      <c r="CU163" s="43"/>
      <c r="CV163" s="43" t="s">
        <v>96</v>
      </c>
      <c r="CW163" s="43" t="s">
        <v>96</v>
      </c>
      <c r="CX163" s="43"/>
      <c r="CY163" s="43" t="s">
        <v>1723</v>
      </c>
      <c r="CZ163" s="43" t="s">
        <v>109</v>
      </c>
      <c r="DA163" s="43" t="s">
        <v>1470</v>
      </c>
      <c r="DB163" s="43"/>
      <c r="DC163" s="43"/>
      <c r="DD163" s="43"/>
      <c r="DE163" s="43"/>
      <c r="DF163" s="43"/>
    </row>
    <row r="164" spans="1:110" ht="14">
      <c r="A164" s="27" t="s">
        <v>825</v>
      </c>
      <c r="B164" s="33" t="s">
        <v>1693</v>
      </c>
      <c r="C164" s="27" t="s">
        <v>826</v>
      </c>
      <c r="D164" s="27"/>
      <c r="E164" s="27" t="s">
        <v>93</v>
      </c>
      <c r="F164" s="44"/>
      <c r="G164" s="39">
        <v>13499464</v>
      </c>
      <c r="H164" s="40" t="s">
        <v>123</v>
      </c>
      <c r="I164" s="39" t="s">
        <v>1620</v>
      </c>
      <c r="J164" s="27"/>
      <c r="K164" s="39" t="s">
        <v>1620</v>
      </c>
      <c r="L164" s="39">
        <v>1186144.6411368144</v>
      </c>
      <c r="M164" s="39">
        <v>13499464</v>
      </c>
      <c r="N164" s="41">
        <v>0.24072891676145911</v>
      </c>
      <c r="O164" s="39">
        <v>1447811.4836289545</v>
      </c>
      <c r="P164" s="39">
        <v>15997557</v>
      </c>
      <c r="Q164" s="41">
        <v>0.24795078426430289</v>
      </c>
      <c r="R164" s="39">
        <v>1795168.8947596934</v>
      </c>
      <c r="S164" s="39">
        <v>19257936</v>
      </c>
      <c r="T164" s="41">
        <v>0.25538930779223201</v>
      </c>
      <c r="U164" s="39">
        <v>2730684.5506762457</v>
      </c>
      <c r="V164" s="39">
        <v>22560007</v>
      </c>
      <c r="W164" s="41">
        <v>0.33161902547722183</v>
      </c>
      <c r="X164" s="42"/>
      <c r="Y164" s="42"/>
      <c r="Z164" s="42"/>
      <c r="AA164" s="42"/>
      <c r="AB164" s="42"/>
      <c r="AC164" s="42"/>
      <c r="AD164" s="42"/>
      <c r="AE164" s="42"/>
      <c r="AF164" s="42"/>
      <c r="AG164" s="42"/>
      <c r="AH164" s="42"/>
      <c r="AI164" s="42"/>
      <c r="AJ164" s="42"/>
      <c r="AK164" s="39"/>
      <c r="AL164" s="39"/>
      <c r="AM164" s="39"/>
      <c r="AN164" s="39">
        <v>10000</v>
      </c>
      <c r="AO164" s="39"/>
      <c r="AP164" s="39"/>
      <c r="AQ164" s="39"/>
      <c r="AR164" s="39"/>
      <c r="AS164" s="42"/>
      <c r="AT164" s="42"/>
      <c r="AU164" s="42">
        <v>1E-3</v>
      </c>
      <c r="AV164" s="42"/>
      <c r="AW164" s="42"/>
      <c r="AX164" s="42">
        <v>0.121</v>
      </c>
      <c r="AY164" s="42"/>
      <c r="AZ164" s="42"/>
      <c r="BA164" s="42">
        <v>0.42</v>
      </c>
      <c r="BB164" s="42"/>
      <c r="BC164" s="42"/>
      <c r="BD164" s="42"/>
      <c r="BE164" s="42"/>
      <c r="BF164" s="42"/>
      <c r="BG164" s="42"/>
      <c r="BH164" s="42"/>
      <c r="BI164" s="42"/>
      <c r="BJ164" s="42"/>
      <c r="BK164" s="42"/>
      <c r="BL164" s="42"/>
      <c r="BM164" s="42"/>
      <c r="BN164" s="42"/>
      <c r="BO164" s="42"/>
      <c r="BP164" s="42"/>
      <c r="BQ164" s="42">
        <v>0.468714448236633</v>
      </c>
      <c r="BR164" s="42">
        <v>1.13765642775882E-3</v>
      </c>
      <c r="BS164" s="42"/>
      <c r="BT164" s="42">
        <v>1.13765642775882E-3</v>
      </c>
      <c r="BU164" s="42">
        <v>0.52901023890785004</v>
      </c>
      <c r="BV164" s="42"/>
      <c r="BW164" s="39"/>
      <c r="BX164" s="39"/>
      <c r="BY164" s="39"/>
      <c r="BZ164" s="39"/>
      <c r="CA164" s="39"/>
      <c r="CB164" s="27" t="s">
        <v>95</v>
      </c>
      <c r="CC164" s="27" t="s">
        <v>96</v>
      </c>
      <c r="CD164" s="27" t="s">
        <v>96</v>
      </c>
      <c r="CE164" s="27" t="s">
        <v>827</v>
      </c>
      <c r="CF164" s="27" t="s">
        <v>96</v>
      </c>
      <c r="CG164" s="27" t="s">
        <v>95</v>
      </c>
      <c r="CH164" s="27" t="s">
        <v>95</v>
      </c>
      <c r="CI164" s="27"/>
      <c r="CJ164" s="27" t="s">
        <v>1645</v>
      </c>
      <c r="CK164" s="27"/>
      <c r="CL164" s="27" t="s">
        <v>96</v>
      </c>
      <c r="CM164" s="27" t="s">
        <v>828</v>
      </c>
      <c r="CN164" s="27" t="s">
        <v>96</v>
      </c>
      <c r="CO164" s="27"/>
      <c r="CP164" s="27"/>
      <c r="CQ164" s="27"/>
      <c r="CR164" s="43" t="s">
        <v>96</v>
      </c>
      <c r="CS164" s="43" t="s">
        <v>96</v>
      </c>
      <c r="CT164" s="43"/>
      <c r="CU164" s="43"/>
      <c r="CV164" s="43" t="s">
        <v>96</v>
      </c>
      <c r="CW164" s="43"/>
      <c r="CX164" s="43"/>
      <c r="CY164" s="43" t="s">
        <v>1723</v>
      </c>
      <c r="CZ164" s="43" t="s">
        <v>109</v>
      </c>
      <c r="DA164" s="43" t="s">
        <v>1470</v>
      </c>
      <c r="DB164" s="43"/>
      <c r="DC164" s="43"/>
      <c r="DD164" s="43"/>
      <c r="DE164" s="43"/>
      <c r="DF164" s="43"/>
    </row>
    <row r="165" spans="1:110" ht="14">
      <c r="A165" s="27" t="s">
        <v>829</v>
      </c>
      <c r="B165" s="47" t="s">
        <v>1712</v>
      </c>
      <c r="C165" s="27" t="s">
        <v>830</v>
      </c>
      <c r="D165" s="27" t="s">
        <v>1651</v>
      </c>
      <c r="E165" s="27" t="s">
        <v>1651</v>
      </c>
      <c r="F165" s="39">
        <v>868898358.26999998</v>
      </c>
      <c r="G165" s="39">
        <v>210867</v>
      </c>
      <c r="H165" s="40">
        <v>2020</v>
      </c>
      <c r="I165" s="39">
        <v>19780.378935000001</v>
      </c>
      <c r="J165" s="27" t="s">
        <v>152</v>
      </c>
      <c r="K165" s="41">
        <v>0.25700000000000001</v>
      </c>
      <c r="L165" s="39">
        <v>17710.768354797448</v>
      </c>
      <c r="M165" s="39">
        <v>214537</v>
      </c>
      <c r="N165" s="41">
        <v>0.22617382095788757</v>
      </c>
      <c r="O165" s="39">
        <v>20452.811841681272</v>
      </c>
      <c r="P165" s="39">
        <v>225215</v>
      </c>
      <c r="Q165" s="41">
        <v>0.24880714400067969</v>
      </c>
      <c r="R165" s="39">
        <v>27155.620441676761</v>
      </c>
      <c r="S165" s="39">
        <v>245914</v>
      </c>
      <c r="T165" s="41">
        <v>0.30254056342535562</v>
      </c>
      <c r="U165" s="39">
        <v>38046.653642457975</v>
      </c>
      <c r="V165" s="39">
        <v>271529</v>
      </c>
      <c r="W165" s="41">
        <v>0.38389051349804587</v>
      </c>
      <c r="X165" s="42">
        <v>0.5353</v>
      </c>
      <c r="Y165" s="42">
        <v>1.8599999999999998E-2</v>
      </c>
      <c r="Z165" s="42">
        <v>3.39E-2</v>
      </c>
      <c r="AA165" s="42">
        <v>6.3700000000000007E-2</v>
      </c>
      <c r="AB165" s="42">
        <v>7.6499999999999999E-2</v>
      </c>
      <c r="AC165" s="42">
        <v>4.1999999999999997E-3</v>
      </c>
      <c r="AD165" s="42"/>
      <c r="AE165" s="42">
        <v>0.19120000000000001</v>
      </c>
      <c r="AF165" s="42">
        <v>1.2699999999999999E-2</v>
      </c>
      <c r="AG165" s="42"/>
      <c r="AH165" s="42"/>
      <c r="AI165" s="42">
        <v>5.0999999999999997E-2</v>
      </c>
      <c r="AJ165" s="42">
        <v>1.29E-2</v>
      </c>
      <c r="AK165" s="39"/>
      <c r="AL165" s="39"/>
      <c r="AM165" s="39"/>
      <c r="AN165" s="39">
        <v>700</v>
      </c>
      <c r="AO165" s="39"/>
      <c r="AP165" s="39"/>
      <c r="AQ165" s="39"/>
      <c r="AR165" s="39">
        <v>38</v>
      </c>
      <c r="AS165" s="42"/>
      <c r="AT165" s="42"/>
      <c r="AU165" s="42"/>
      <c r="AV165" s="42"/>
      <c r="AW165" s="42"/>
      <c r="AX165" s="42"/>
      <c r="AY165" s="42">
        <v>0.98899999999999999</v>
      </c>
      <c r="AZ165" s="42">
        <v>0.29559999999999997</v>
      </c>
      <c r="BA165" s="42"/>
      <c r="BB165" s="42">
        <v>1</v>
      </c>
      <c r="BC165" s="42"/>
      <c r="BD165" s="42"/>
      <c r="BE165" s="42"/>
      <c r="BF165" s="42"/>
      <c r="BG165" s="42">
        <v>0.23352400000000001</v>
      </c>
      <c r="BH165" s="42"/>
      <c r="BI165" s="42"/>
      <c r="BJ165" s="42">
        <v>2.6603999999999999E-2</v>
      </c>
      <c r="BK165" s="42">
        <v>5.9119999999999997E-3</v>
      </c>
      <c r="BL165" s="42"/>
      <c r="BM165" s="42"/>
      <c r="BN165" s="42">
        <v>3.2516000000000003E-2</v>
      </c>
      <c r="BO165" s="42">
        <v>0.70440000000000003</v>
      </c>
      <c r="BP165" s="42"/>
      <c r="BQ165" s="42">
        <v>0.237821045785578</v>
      </c>
      <c r="BR165" s="42">
        <v>0.42079993138952898</v>
      </c>
      <c r="BS165" s="42">
        <v>0.290985584654125</v>
      </c>
      <c r="BT165" s="42">
        <v>4.1294927351516698E-3</v>
      </c>
      <c r="BU165" s="42"/>
      <c r="BV165" s="42">
        <v>4.6263945435616897E-2</v>
      </c>
      <c r="BW165" s="39">
        <v>369</v>
      </c>
      <c r="BX165" s="39">
        <v>94</v>
      </c>
      <c r="BY165" s="39">
        <v>28</v>
      </c>
      <c r="BZ165" s="39"/>
      <c r="CA165" s="39"/>
      <c r="CB165" s="27" t="s">
        <v>96</v>
      </c>
      <c r="CC165" s="27" t="s">
        <v>95</v>
      </c>
      <c r="CD165" s="27" t="s">
        <v>96</v>
      </c>
      <c r="CE165" s="27" t="s">
        <v>596</v>
      </c>
      <c r="CF165" s="27" t="s">
        <v>96</v>
      </c>
      <c r="CG165" s="27" t="s">
        <v>96</v>
      </c>
      <c r="CH165" s="27"/>
      <c r="CI165" s="27" t="s">
        <v>831</v>
      </c>
      <c r="CJ165" s="27" t="s">
        <v>832</v>
      </c>
      <c r="CK165" s="27"/>
      <c r="CL165" s="27" t="s">
        <v>96</v>
      </c>
      <c r="CM165" s="27" t="s">
        <v>833</v>
      </c>
      <c r="CN165" s="27"/>
      <c r="CO165" s="27"/>
      <c r="CP165" s="27"/>
      <c r="CQ165" s="27"/>
      <c r="CR165" s="43"/>
      <c r="CS165" s="43"/>
      <c r="CT165" s="43"/>
      <c r="CU165" s="43"/>
      <c r="CV165" s="43"/>
      <c r="CW165" s="43"/>
      <c r="CX165" s="43"/>
      <c r="CY165" s="43"/>
      <c r="CZ165" s="43"/>
      <c r="DA165" s="43"/>
      <c r="DB165" s="43"/>
      <c r="DC165" s="43"/>
      <c r="DD165" s="43"/>
      <c r="DE165" s="43"/>
      <c r="DF165" s="43"/>
    </row>
    <row r="166" spans="1:110" ht="14">
      <c r="A166" s="27" t="s">
        <v>834</v>
      </c>
      <c r="B166" s="27" t="s">
        <v>1713</v>
      </c>
      <c r="C166" s="27" t="s">
        <v>835</v>
      </c>
      <c r="D166" s="27" t="s">
        <v>122</v>
      </c>
      <c r="E166" s="27" t="s">
        <v>122</v>
      </c>
      <c r="F166" s="39">
        <v>1616232125</v>
      </c>
      <c r="G166" s="39">
        <v>34592</v>
      </c>
      <c r="H166" s="40">
        <v>2019</v>
      </c>
      <c r="I166" s="39">
        <v>18019.62</v>
      </c>
      <c r="J166" s="27" t="s">
        <v>194</v>
      </c>
      <c r="K166" s="41">
        <v>1.4271745466526429</v>
      </c>
      <c r="L166" s="39">
        <v>17584.811013077677</v>
      </c>
      <c r="M166" s="39">
        <v>34322</v>
      </c>
      <c r="N166" s="41">
        <v>1.4036933867312771</v>
      </c>
      <c r="O166" s="39">
        <v>16537.696340962571</v>
      </c>
      <c r="P166" s="39">
        <v>33733</v>
      </c>
      <c r="Q166" s="41">
        <v>1.3431582455911895</v>
      </c>
      <c r="R166" s="39">
        <v>15438.365382181728</v>
      </c>
      <c r="S166" s="39">
        <v>33974</v>
      </c>
      <c r="T166" s="41">
        <v>1.244978261553898</v>
      </c>
      <c r="U166" s="39">
        <v>13632.813757354375</v>
      </c>
      <c r="V166" s="39">
        <v>33712</v>
      </c>
      <c r="W166" s="41">
        <v>1.1079192773399154</v>
      </c>
      <c r="X166" s="42"/>
      <c r="Y166" s="42"/>
      <c r="Z166" s="42"/>
      <c r="AA166" s="42"/>
      <c r="AB166" s="42"/>
      <c r="AC166" s="42"/>
      <c r="AD166" s="42"/>
      <c r="AE166" s="42"/>
      <c r="AF166" s="42"/>
      <c r="AG166" s="42"/>
      <c r="AH166" s="42"/>
      <c r="AI166" s="42"/>
      <c r="AJ166" s="42"/>
      <c r="AK166" s="39">
        <v>7420.7</v>
      </c>
      <c r="AL166" s="39"/>
      <c r="AM166" s="39"/>
      <c r="AN166" s="39">
        <v>1000</v>
      </c>
      <c r="AO166" s="39"/>
      <c r="AP166" s="39"/>
      <c r="AQ166" s="39"/>
      <c r="AR166" s="39"/>
      <c r="AS166" s="42"/>
      <c r="AT166" s="42"/>
      <c r="AU166" s="42"/>
      <c r="AV166" s="42"/>
      <c r="AW166" s="42"/>
      <c r="AX166" s="42"/>
      <c r="AY166" s="42"/>
      <c r="AZ166" s="42"/>
      <c r="BA166" s="42"/>
      <c r="BB166" s="42"/>
      <c r="BC166" s="42"/>
      <c r="BD166" s="42"/>
      <c r="BE166" s="42"/>
      <c r="BF166" s="42"/>
      <c r="BG166" s="42"/>
      <c r="BH166" s="42"/>
      <c r="BI166" s="42"/>
      <c r="BJ166" s="42">
        <v>0.42959999999999998</v>
      </c>
      <c r="BK166" s="42"/>
      <c r="BL166" s="42"/>
      <c r="BM166" s="42"/>
      <c r="BN166" s="42">
        <v>0.57040000000000002</v>
      </c>
      <c r="BO166" s="42"/>
      <c r="BP166" s="42"/>
      <c r="BQ166" s="42"/>
      <c r="BR166" s="42"/>
      <c r="BS166" s="42"/>
      <c r="BT166" s="42"/>
      <c r="BU166" s="42"/>
      <c r="BV166" s="42"/>
      <c r="BW166" s="39"/>
      <c r="BX166" s="39"/>
      <c r="BY166" s="39"/>
      <c r="BZ166" s="39"/>
      <c r="CA166" s="39"/>
      <c r="CB166" s="27" t="s">
        <v>96</v>
      </c>
      <c r="CC166" s="27" t="s">
        <v>96</v>
      </c>
      <c r="CD166" s="27" t="s">
        <v>96</v>
      </c>
      <c r="CE166" s="27" t="s">
        <v>836</v>
      </c>
      <c r="CF166" s="27" t="s">
        <v>96</v>
      </c>
      <c r="CG166" s="27"/>
      <c r="CH166" s="27" t="s">
        <v>96</v>
      </c>
      <c r="CI166" s="27"/>
      <c r="CJ166" s="27" t="s">
        <v>123</v>
      </c>
      <c r="CK166" s="27"/>
      <c r="CL166" s="27" t="s">
        <v>96</v>
      </c>
      <c r="CM166" s="27" t="s">
        <v>837</v>
      </c>
      <c r="CN166" s="27"/>
      <c r="CO166" s="27"/>
      <c r="CP166" s="27"/>
      <c r="CQ166" s="27"/>
      <c r="CR166" s="43"/>
      <c r="CS166" s="43"/>
      <c r="CT166" s="43"/>
      <c r="CU166" s="43"/>
      <c r="CV166" s="43"/>
      <c r="CW166" s="43"/>
      <c r="CX166" s="43"/>
      <c r="CY166" s="43"/>
      <c r="CZ166" s="43"/>
      <c r="DA166" s="43"/>
      <c r="DB166" s="43"/>
      <c r="DC166" s="43"/>
      <c r="DD166" s="43"/>
      <c r="DE166" s="43"/>
      <c r="DF166" s="43"/>
    </row>
    <row r="167" spans="1:110" ht="14">
      <c r="A167" s="27" t="s">
        <v>838</v>
      </c>
      <c r="B167" s="33" t="s">
        <v>1693</v>
      </c>
      <c r="C167" s="27" t="s">
        <v>839</v>
      </c>
      <c r="D167" s="27" t="s">
        <v>1651</v>
      </c>
      <c r="E167" s="27" t="s">
        <v>1651</v>
      </c>
      <c r="F167" s="39">
        <v>259999643.05000001</v>
      </c>
      <c r="G167" s="39">
        <v>198557</v>
      </c>
      <c r="H167" s="40">
        <v>2015</v>
      </c>
      <c r="I167" s="39">
        <v>24249.38</v>
      </c>
      <c r="J167" s="27" t="s">
        <v>94</v>
      </c>
      <c r="K167" s="41">
        <v>0.33459740796973453</v>
      </c>
      <c r="L167" s="39">
        <v>29105.073784211654</v>
      </c>
      <c r="M167" s="39">
        <v>224052</v>
      </c>
      <c r="N167" s="41">
        <v>0.35589920275615627</v>
      </c>
      <c r="O167" s="39">
        <v>35968.633014278712</v>
      </c>
      <c r="P167" s="39">
        <v>262081.00000000003</v>
      </c>
      <c r="Q167" s="41">
        <v>0.37600665458052951</v>
      </c>
      <c r="R167" s="39">
        <v>52416.668888746099</v>
      </c>
      <c r="S167" s="39">
        <v>313299</v>
      </c>
      <c r="T167" s="41">
        <v>0.45837143439322148</v>
      </c>
      <c r="U167" s="39">
        <v>75634.837725727863</v>
      </c>
      <c r="V167" s="39">
        <v>362740</v>
      </c>
      <c r="W167" s="41">
        <v>0.57125967220363028</v>
      </c>
      <c r="X167" s="42">
        <v>0.5</v>
      </c>
      <c r="Y167" s="42">
        <v>0.05</v>
      </c>
      <c r="Z167" s="42">
        <v>0.02</v>
      </c>
      <c r="AA167" s="42">
        <v>0.06</v>
      </c>
      <c r="AB167" s="42">
        <v>0.03</v>
      </c>
      <c r="AC167" s="42"/>
      <c r="AD167" s="42"/>
      <c r="AE167" s="42"/>
      <c r="AF167" s="42"/>
      <c r="AG167" s="42"/>
      <c r="AH167" s="42"/>
      <c r="AI167" s="42"/>
      <c r="AJ167" s="42">
        <v>0.34</v>
      </c>
      <c r="AK167" s="39"/>
      <c r="AL167" s="39"/>
      <c r="AM167" s="39"/>
      <c r="AN167" s="39">
        <v>157688.03</v>
      </c>
      <c r="AO167" s="39"/>
      <c r="AP167" s="39"/>
      <c r="AQ167" s="39"/>
      <c r="AR167" s="39">
        <v>27</v>
      </c>
      <c r="AS167" s="42"/>
      <c r="AT167" s="42"/>
      <c r="AU167" s="42"/>
      <c r="AV167" s="42"/>
      <c r="AW167" s="42"/>
      <c r="AX167" s="42"/>
      <c r="AY167" s="42"/>
      <c r="AZ167" s="42">
        <v>0.38</v>
      </c>
      <c r="BA167" s="42"/>
      <c r="BB167" s="42"/>
      <c r="BC167" s="42"/>
      <c r="BD167" s="42"/>
      <c r="BE167" s="42"/>
      <c r="BF167" s="42"/>
      <c r="BG167" s="42"/>
      <c r="BH167" s="42"/>
      <c r="BI167" s="42"/>
      <c r="BJ167" s="42"/>
      <c r="BK167" s="42"/>
      <c r="BL167" s="42"/>
      <c r="BM167" s="42"/>
      <c r="BN167" s="42"/>
      <c r="BO167" s="42"/>
      <c r="BP167" s="42"/>
      <c r="BQ167" s="42"/>
      <c r="BR167" s="42"/>
      <c r="BS167" s="42"/>
      <c r="BT167" s="42"/>
      <c r="BU167" s="42"/>
      <c r="BV167" s="42"/>
      <c r="BW167" s="39"/>
      <c r="BX167" s="39"/>
      <c r="BY167" s="39"/>
      <c r="BZ167" s="39"/>
      <c r="CA167" s="39"/>
      <c r="CB167" s="27" t="s">
        <v>95</v>
      </c>
      <c r="CC167" s="27" t="s">
        <v>95</v>
      </c>
      <c r="CD167" s="27" t="s">
        <v>95</v>
      </c>
      <c r="CE167" s="27" t="s">
        <v>95</v>
      </c>
      <c r="CF167" s="27" t="s">
        <v>96</v>
      </c>
      <c r="CG167" s="27" t="s">
        <v>95</v>
      </c>
      <c r="CH167" s="27" t="s">
        <v>95</v>
      </c>
      <c r="CI167" s="27" t="s">
        <v>95</v>
      </c>
      <c r="CJ167" s="27" t="s">
        <v>1646</v>
      </c>
      <c r="CK167" s="27" t="s">
        <v>95</v>
      </c>
      <c r="CL167" s="27"/>
      <c r="CM167" s="27"/>
      <c r="CN167" s="27" t="s">
        <v>96</v>
      </c>
      <c r="CO167" s="27"/>
      <c r="CP167" s="27"/>
      <c r="CQ167" s="27"/>
      <c r="CR167" s="43" t="s">
        <v>96</v>
      </c>
      <c r="CS167" s="43" t="s">
        <v>96</v>
      </c>
      <c r="CT167" s="43"/>
      <c r="CU167" s="43"/>
      <c r="CV167" s="43"/>
      <c r="CW167" s="43"/>
      <c r="CX167" s="43"/>
      <c r="CY167" s="43" t="s">
        <v>106</v>
      </c>
      <c r="CZ167" s="43" t="s">
        <v>106</v>
      </c>
      <c r="DA167" s="43" t="s">
        <v>197</v>
      </c>
      <c r="DB167" s="43"/>
      <c r="DC167" s="43"/>
      <c r="DD167" s="43"/>
      <c r="DE167" s="43"/>
      <c r="DF167" s="43"/>
    </row>
    <row r="168" spans="1:110" ht="14">
      <c r="A168" s="27" t="s">
        <v>840</v>
      </c>
      <c r="B168" t="s">
        <v>1715</v>
      </c>
      <c r="C168" s="27" t="s">
        <v>841</v>
      </c>
      <c r="D168" s="27" t="s">
        <v>122</v>
      </c>
      <c r="E168" s="27" t="s">
        <v>122</v>
      </c>
      <c r="F168" s="39">
        <v>1239075200000</v>
      </c>
      <c r="G168" s="39">
        <v>31483360</v>
      </c>
      <c r="H168" s="40">
        <v>2022</v>
      </c>
      <c r="I168" s="39">
        <v>20751133</v>
      </c>
      <c r="J168" s="27" t="s">
        <v>94</v>
      </c>
      <c r="K168" s="41">
        <v>1.8057926211840853</v>
      </c>
      <c r="L168" s="39">
        <v>20751133</v>
      </c>
      <c r="M168" s="39">
        <v>31483360</v>
      </c>
      <c r="N168" s="41">
        <v>1.8057926211840853</v>
      </c>
      <c r="O168" s="39">
        <v>25759542.020382103</v>
      </c>
      <c r="P168" s="39">
        <v>37187825</v>
      </c>
      <c r="Q168" s="41">
        <v>1.8977740087535167</v>
      </c>
      <c r="R168" s="39">
        <v>30731531.535912916</v>
      </c>
      <c r="S168" s="39">
        <v>42334724</v>
      </c>
      <c r="T168" s="41">
        <v>1.9888160085966384</v>
      </c>
      <c r="U168" s="39">
        <v>35303413.80742754</v>
      </c>
      <c r="V168" s="39">
        <v>47441700</v>
      </c>
      <c r="W168" s="41">
        <v>2.0387482249621121</v>
      </c>
      <c r="X168" s="42">
        <v>0.41816370131868502</v>
      </c>
      <c r="Y168" s="42">
        <v>3.0323836759957298E-2</v>
      </c>
      <c r="Z168" s="42">
        <v>4.3180194393231702E-2</v>
      </c>
      <c r="AA168" s="42">
        <v>8.3232366963656101E-2</v>
      </c>
      <c r="AB168" s="42">
        <v>0.104673556635507</v>
      </c>
      <c r="AC168" s="42"/>
      <c r="AD168" s="42"/>
      <c r="AE168" s="42"/>
      <c r="AF168" s="42"/>
      <c r="AG168" s="42"/>
      <c r="AH168" s="42"/>
      <c r="AI168" s="42">
        <v>3.0982354988406902E-2</v>
      </c>
      <c r="AJ168" s="42">
        <v>0.28944398894055601</v>
      </c>
      <c r="AK168" s="39"/>
      <c r="AL168" s="39"/>
      <c r="AM168" s="39">
        <v>20650231</v>
      </c>
      <c r="AN168" s="39">
        <v>617000</v>
      </c>
      <c r="AO168" s="39">
        <v>76000</v>
      </c>
      <c r="AP168" s="39">
        <v>18047344</v>
      </c>
      <c r="AQ168" s="39">
        <v>317719</v>
      </c>
      <c r="AR168" s="39">
        <v>25207</v>
      </c>
      <c r="AS168" s="42"/>
      <c r="AT168" s="42"/>
      <c r="AU168" s="42"/>
      <c r="AV168" s="42"/>
      <c r="AW168" s="42"/>
      <c r="AX168" s="42">
        <v>0.99439999999999995</v>
      </c>
      <c r="AY168" s="42"/>
      <c r="AZ168" s="42">
        <v>1</v>
      </c>
      <c r="BA168" s="42"/>
      <c r="BB168" s="42"/>
      <c r="BC168" s="42"/>
      <c r="BD168" s="42"/>
      <c r="BE168" s="42"/>
      <c r="BF168" s="42">
        <v>0.882996220843561</v>
      </c>
      <c r="BG168" s="42"/>
      <c r="BH168" s="42"/>
      <c r="BI168" s="42"/>
      <c r="BJ168" s="42">
        <v>3.72734672972495E-2</v>
      </c>
      <c r="BK168" s="42">
        <v>2.4637839903462501E-3</v>
      </c>
      <c r="BL168" s="42"/>
      <c r="BM168" s="42"/>
      <c r="BN168" s="42"/>
      <c r="BO168" s="42"/>
      <c r="BP168" s="42">
        <v>7.7266527868843499E-2</v>
      </c>
      <c r="BQ168" s="42"/>
      <c r="BR168" s="42">
        <v>0.83899999999999997</v>
      </c>
      <c r="BS168" s="42">
        <v>0.107</v>
      </c>
      <c r="BT168" s="42"/>
      <c r="BU168" s="42"/>
      <c r="BV168" s="42">
        <v>5.3999999999999999E-2</v>
      </c>
      <c r="BW168" s="39"/>
      <c r="BX168" s="39"/>
      <c r="BY168" s="39"/>
      <c r="BZ168" s="39"/>
      <c r="CA168" s="39"/>
      <c r="CB168" s="27" t="s">
        <v>96</v>
      </c>
      <c r="CC168" s="27" t="s">
        <v>96</v>
      </c>
      <c r="CD168" s="27" t="s">
        <v>96</v>
      </c>
      <c r="CE168" s="27" t="s">
        <v>842</v>
      </c>
      <c r="CF168" s="27" t="s">
        <v>96</v>
      </c>
      <c r="CG168" s="27" t="s">
        <v>96</v>
      </c>
      <c r="CH168" s="27" t="s">
        <v>95</v>
      </c>
      <c r="CI168" s="27"/>
      <c r="CJ168" s="27" t="s">
        <v>123</v>
      </c>
      <c r="CK168" s="27"/>
      <c r="CL168" s="27" t="s">
        <v>96</v>
      </c>
      <c r="CM168" s="27" t="s">
        <v>843</v>
      </c>
      <c r="CN168" s="27" t="s">
        <v>95</v>
      </c>
      <c r="CO168" s="27" t="s">
        <v>844</v>
      </c>
      <c r="CP168" s="27" t="s">
        <v>96</v>
      </c>
      <c r="CQ168" s="27" t="s">
        <v>844</v>
      </c>
      <c r="CR168" s="43" t="s">
        <v>96</v>
      </c>
      <c r="CS168" s="43"/>
      <c r="CT168" s="43"/>
      <c r="CU168" s="43"/>
      <c r="CV168" s="43"/>
      <c r="CW168" s="43"/>
      <c r="CX168" s="43" t="s">
        <v>96</v>
      </c>
      <c r="CY168" s="43" t="s">
        <v>106</v>
      </c>
      <c r="CZ168" s="43" t="s">
        <v>106</v>
      </c>
      <c r="DA168" s="43" t="s">
        <v>197</v>
      </c>
      <c r="DB168" s="43"/>
      <c r="DC168" s="43"/>
      <c r="DD168" s="43"/>
      <c r="DE168" s="43"/>
      <c r="DF168" s="43"/>
    </row>
    <row r="169" spans="1:110" ht="14">
      <c r="A169" s="27" t="s">
        <v>845</v>
      </c>
      <c r="B169" s="33" t="s">
        <v>1693</v>
      </c>
      <c r="C169" s="27" t="s">
        <v>846</v>
      </c>
      <c r="D169" s="27" t="s">
        <v>1651</v>
      </c>
      <c r="E169" s="27" t="s">
        <v>1651</v>
      </c>
      <c r="F169" s="39">
        <v>27520784129.75</v>
      </c>
      <c r="G169" s="39">
        <v>17006600</v>
      </c>
      <c r="H169" s="40">
        <v>2021</v>
      </c>
      <c r="I169" s="39">
        <v>3000000</v>
      </c>
      <c r="J169" s="27" t="s">
        <v>94</v>
      </c>
      <c r="K169" s="41">
        <v>0.48329343209058717</v>
      </c>
      <c r="L169" s="39">
        <v>3106279.2443336858</v>
      </c>
      <c r="M169" s="39">
        <v>17435133</v>
      </c>
      <c r="N169" s="41">
        <v>0.48811523801194362</v>
      </c>
      <c r="O169" s="39">
        <v>4565085.2533549853</v>
      </c>
      <c r="P169" s="39">
        <v>20933561</v>
      </c>
      <c r="Q169" s="41">
        <v>0.59746561446970581</v>
      </c>
      <c r="R169" s="39">
        <v>5742830.3477773797</v>
      </c>
      <c r="S169" s="39">
        <v>25567189</v>
      </c>
      <c r="T169" s="41">
        <v>0.61538958290379697</v>
      </c>
      <c r="U169" s="39">
        <v>8368204.361405219</v>
      </c>
      <c r="V169" s="39">
        <v>30138098</v>
      </c>
      <c r="W169" s="41">
        <v>0.76071778954070524</v>
      </c>
      <c r="X169" s="42">
        <v>0.12</v>
      </c>
      <c r="Y169" s="42">
        <v>0.02</v>
      </c>
      <c r="Z169" s="42">
        <v>0.02</v>
      </c>
      <c r="AA169" s="42">
        <v>0.05</v>
      </c>
      <c r="AB169" s="42">
        <v>0.09</v>
      </c>
      <c r="AC169" s="42"/>
      <c r="AD169" s="42">
        <v>0.02</v>
      </c>
      <c r="AE169" s="42"/>
      <c r="AF169" s="42"/>
      <c r="AG169" s="42"/>
      <c r="AH169" s="42"/>
      <c r="AI169" s="42"/>
      <c r="AJ169" s="42">
        <v>0.68</v>
      </c>
      <c r="AK169" s="39"/>
      <c r="AL169" s="39"/>
      <c r="AM169" s="39"/>
      <c r="AN169" s="39">
        <v>25000</v>
      </c>
      <c r="AO169" s="39">
        <v>81957</v>
      </c>
      <c r="AP169" s="39"/>
      <c r="AQ169" s="39"/>
      <c r="AR169" s="39"/>
      <c r="AS169" s="42"/>
      <c r="AT169" s="42"/>
      <c r="AU169" s="42"/>
      <c r="AV169" s="42"/>
      <c r="AW169" s="42"/>
      <c r="AX169" s="42"/>
      <c r="AY169" s="42">
        <v>0.214</v>
      </c>
      <c r="AZ169" s="42">
        <v>0.54</v>
      </c>
      <c r="BA169" s="42"/>
      <c r="BB169" s="42"/>
      <c r="BC169" s="42"/>
      <c r="BD169" s="42">
        <v>0.438</v>
      </c>
      <c r="BE169" s="42">
        <v>5.0999999999999997E-2</v>
      </c>
      <c r="BF169" s="42"/>
      <c r="BG169" s="42"/>
      <c r="BH169" s="42"/>
      <c r="BI169" s="42"/>
      <c r="BJ169" s="42"/>
      <c r="BK169" s="42"/>
      <c r="BL169" s="42"/>
      <c r="BM169" s="42"/>
      <c r="BN169" s="42">
        <v>4.7E-2</v>
      </c>
      <c r="BO169" s="42"/>
      <c r="BP169" s="42">
        <v>0.46400000000000002</v>
      </c>
      <c r="BQ169" s="42">
        <v>0.84909456740442701</v>
      </c>
      <c r="BR169" s="42">
        <v>7.0422535211267595E-2</v>
      </c>
      <c r="BS169" s="42">
        <v>3.2193158953722302E-2</v>
      </c>
      <c r="BT169" s="42"/>
      <c r="BU169" s="42"/>
      <c r="BV169" s="42">
        <v>5.2313883299798802E-2</v>
      </c>
      <c r="BW169" s="39"/>
      <c r="BX169" s="39"/>
      <c r="BY169" s="39"/>
      <c r="BZ169" s="39"/>
      <c r="CA169" s="39"/>
      <c r="CB169" s="27" t="s">
        <v>95</v>
      </c>
      <c r="CC169" s="27" t="s">
        <v>96</v>
      </c>
      <c r="CD169" s="27" t="s">
        <v>96</v>
      </c>
      <c r="CE169" s="27" t="s">
        <v>847</v>
      </c>
      <c r="CF169" s="27" t="s">
        <v>96</v>
      </c>
      <c r="CG169" s="27" t="s">
        <v>96</v>
      </c>
      <c r="CH169" s="27"/>
      <c r="CI169" s="27"/>
      <c r="CJ169" s="27" t="s">
        <v>848</v>
      </c>
      <c r="CK169" s="27" t="s">
        <v>96</v>
      </c>
      <c r="CL169" s="27"/>
      <c r="CM169" s="27"/>
      <c r="CN169" s="27" t="s">
        <v>96</v>
      </c>
      <c r="CO169" s="27"/>
      <c r="CP169" s="27"/>
      <c r="CQ169" s="27"/>
      <c r="CR169" s="43" t="s">
        <v>96</v>
      </c>
      <c r="CS169" s="43" t="s">
        <v>96</v>
      </c>
      <c r="CT169" s="43" t="s">
        <v>96</v>
      </c>
      <c r="CU169" s="43"/>
      <c r="CV169" s="43" t="s">
        <v>96</v>
      </c>
      <c r="CW169" s="43"/>
      <c r="CX169" s="43"/>
      <c r="CY169" s="43" t="s">
        <v>1723</v>
      </c>
      <c r="CZ169" s="43" t="s">
        <v>109</v>
      </c>
      <c r="DA169" s="43" t="s">
        <v>197</v>
      </c>
      <c r="DB169" s="43"/>
      <c r="DC169" s="43"/>
      <c r="DD169" s="43"/>
      <c r="DE169" s="43"/>
      <c r="DF169" s="43"/>
    </row>
    <row r="170" spans="1:110" ht="14">
      <c r="A170" s="27" t="s">
        <v>849</v>
      </c>
      <c r="B170" s="27" t="s">
        <v>1713</v>
      </c>
      <c r="C170" s="27" t="s">
        <v>850</v>
      </c>
      <c r="D170" s="27" t="s">
        <v>1650</v>
      </c>
      <c r="E170" s="27" t="s">
        <v>1650</v>
      </c>
      <c r="F170" s="39">
        <v>66159884073</v>
      </c>
      <c r="G170" s="39">
        <v>6876501</v>
      </c>
      <c r="H170" s="40">
        <v>2021</v>
      </c>
      <c r="I170" s="39">
        <v>2870000</v>
      </c>
      <c r="J170" s="27" t="s">
        <v>94</v>
      </c>
      <c r="K170" s="41">
        <v>1.1434614346206213</v>
      </c>
      <c r="L170" s="39">
        <v>2907617.6145928046</v>
      </c>
      <c r="M170" s="39">
        <v>6794359</v>
      </c>
      <c r="N170" s="41">
        <v>1.1724543340171814</v>
      </c>
      <c r="O170" s="39">
        <v>3211315.6872969461</v>
      </c>
      <c r="P170" s="39">
        <v>6484312</v>
      </c>
      <c r="Q170" s="41">
        <v>1.3568324859563459</v>
      </c>
      <c r="R170" s="39">
        <v>3346697.5083952951</v>
      </c>
      <c r="S170" s="39">
        <v>6011327</v>
      </c>
      <c r="T170" s="41">
        <v>1.5252928795216349</v>
      </c>
      <c r="U170" s="39">
        <v>3312714.113823642</v>
      </c>
      <c r="V170" s="39">
        <v>5554308</v>
      </c>
      <c r="W170" s="41">
        <v>1.6340341729282717</v>
      </c>
      <c r="X170" s="42">
        <v>0.4</v>
      </c>
      <c r="Y170" s="42">
        <v>4.1000000000000002E-2</v>
      </c>
      <c r="Z170" s="42">
        <v>5.1999999999999998E-2</v>
      </c>
      <c r="AA170" s="42">
        <v>0.13</v>
      </c>
      <c r="AB170" s="42">
        <v>0.121</v>
      </c>
      <c r="AC170" s="42"/>
      <c r="AD170" s="42">
        <v>3.4000000000000002E-2</v>
      </c>
      <c r="AE170" s="42"/>
      <c r="AF170" s="42">
        <v>2.8000000000000001E-2</v>
      </c>
      <c r="AG170" s="42">
        <v>5.7000000000000002E-2</v>
      </c>
      <c r="AH170" s="42"/>
      <c r="AI170" s="42"/>
      <c r="AJ170" s="42">
        <v>0.13700000000000001</v>
      </c>
      <c r="AK170" s="39">
        <v>390320</v>
      </c>
      <c r="AL170" s="39">
        <v>89033</v>
      </c>
      <c r="AM170" s="39">
        <v>729118</v>
      </c>
      <c r="AN170" s="39">
        <v>1673</v>
      </c>
      <c r="AO170" s="39">
        <v>59336</v>
      </c>
      <c r="AP170" s="39">
        <v>1099711</v>
      </c>
      <c r="AQ170" s="39">
        <v>45710305</v>
      </c>
      <c r="AR170" s="39">
        <v>5042.9399999999996</v>
      </c>
      <c r="AS170" s="42"/>
      <c r="AT170" s="42"/>
      <c r="AU170" s="42"/>
      <c r="AV170" s="42"/>
      <c r="AW170" s="42"/>
      <c r="AX170" s="42"/>
      <c r="AY170" s="42"/>
      <c r="AZ170" s="42">
        <v>0.88</v>
      </c>
      <c r="BA170" s="42"/>
      <c r="BB170" s="42"/>
      <c r="BC170" s="42"/>
      <c r="BD170" s="42"/>
      <c r="BE170" s="42"/>
      <c r="BF170" s="42"/>
      <c r="BG170" s="42">
        <v>0.805837979665464</v>
      </c>
      <c r="BH170" s="42"/>
      <c r="BI170" s="42">
        <v>2.9517874713020698E-3</v>
      </c>
      <c r="BJ170" s="42">
        <v>0.18104296490652699</v>
      </c>
      <c r="BK170" s="42">
        <v>3.6077402427025299E-3</v>
      </c>
      <c r="BL170" s="42"/>
      <c r="BM170" s="42"/>
      <c r="BN170" s="42"/>
      <c r="BO170" s="42"/>
      <c r="BP170" s="42">
        <v>6.5595277140045897E-3</v>
      </c>
      <c r="BQ170" s="42"/>
      <c r="BR170" s="42"/>
      <c r="BS170" s="42"/>
      <c r="BT170" s="42"/>
      <c r="BU170" s="42"/>
      <c r="BV170" s="42"/>
      <c r="BW170" s="39"/>
      <c r="BX170" s="39"/>
      <c r="BY170" s="39"/>
      <c r="BZ170" s="39"/>
      <c r="CA170" s="39"/>
      <c r="CB170" s="27" t="s">
        <v>96</v>
      </c>
      <c r="CC170" s="27" t="s">
        <v>96</v>
      </c>
      <c r="CD170" s="27" t="s">
        <v>96</v>
      </c>
      <c r="CE170" s="27" t="s">
        <v>851</v>
      </c>
      <c r="CF170" s="27" t="s">
        <v>96</v>
      </c>
      <c r="CG170" s="27" t="s">
        <v>96</v>
      </c>
      <c r="CH170" s="27" t="s">
        <v>96</v>
      </c>
      <c r="CI170" s="27" t="s">
        <v>852</v>
      </c>
      <c r="CJ170" s="27" t="s">
        <v>1593</v>
      </c>
      <c r="CK170" s="27"/>
      <c r="CL170" s="27" t="s">
        <v>96</v>
      </c>
      <c r="CM170" s="27" t="s">
        <v>853</v>
      </c>
      <c r="CN170" s="27" t="s">
        <v>96</v>
      </c>
      <c r="CO170" s="27"/>
      <c r="CP170" s="27"/>
      <c r="CQ170" s="27"/>
      <c r="CR170" s="43" t="s">
        <v>96</v>
      </c>
      <c r="CS170" s="43" t="s">
        <v>96</v>
      </c>
      <c r="CT170" s="43"/>
      <c r="CU170" s="43"/>
      <c r="CV170" s="43"/>
      <c r="CW170" s="43"/>
      <c r="CX170" s="43"/>
      <c r="CY170" s="43" t="s">
        <v>1723</v>
      </c>
      <c r="CZ170" s="43" t="s">
        <v>109</v>
      </c>
      <c r="DA170" s="43" t="s">
        <v>1470</v>
      </c>
      <c r="DB170" s="43"/>
      <c r="DC170" s="43"/>
      <c r="DD170" s="43"/>
      <c r="DE170" s="43"/>
      <c r="DF170" s="43"/>
    </row>
    <row r="171" spans="1:110" ht="14">
      <c r="A171" s="27" t="s">
        <v>854</v>
      </c>
      <c r="B171" s="33" t="s">
        <v>1693</v>
      </c>
      <c r="C171" s="27" t="s">
        <v>855</v>
      </c>
      <c r="D171" s="27" t="s">
        <v>1650</v>
      </c>
      <c r="E171" s="27" t="s">
        <v>122</v>
      </c>
      <c r="F171" s="39">
        <v>1089407839.2</v>
      </c>
      <c r="G171" s="39">
        <v>98277</v>
      </c>
      <c r="H171" s="40">
        <v>2012</v>
      </c>
      <c r="I171" s="39">
        <v>49170</v>
      </c>
      <c r="J171" s="27" t="s">
        <v>102</v>
      </c>
      <c r="K171" s="41">
        <v>1.3707411578204798</v>
      </c>
      <c r="L171" s="39">
        <v>66239.699272774655</v>
      </c>
      <c r="M171" s="39">
        <v>124351</v>
      </c>
      <c r="N171" s="41">
        <v>1.4594062624714566</v>
      </c>
      <c r="O171" s="39">
        <v>82911.599305074749</v>
      </c>
      <c r="P171" s="39">
        <v>140207</v>
      </c>
      <c r="Q171" s="41">
        <v>1.6201406961795481</v>
      </c>
      <c r="R171" s="39">
        <v>91729.689622839564</v>
      </c>
      <c r="S171" s="39">
        <v>142499</v>
      </c>
      <c r="T171" s="41">
        <v>1.7636209246715131</v>
      </c>
      <c r="U171" s="39">
        <v>96772.779085488073</v>
      </c>
      <c r="V171" s="39">
        <v>141854</v>
      </c>
      <c r="W171" s="41">
        <v>1.8690407151301824</v>
      </c>
      <c r="X171" s="42">
        <v>0.31</v>
      </c>
      <c r="Y171" s="42">
        <v>0.04</v>
      </c>
      <c r="Z171" s="42">
        <v>0.05</v>
      </c>
      <c r="AA171" s="42">
        <v>0.18</v>
      </c>
      <c r="AB171" s="42">
        <v>0.13</v>
      </c>
      <c r="AC171" s="42"/>
      <c r="AD171" s="42"/>
      <c r="AE171" s="42"/>
      <c r="AF171" s="42">
        <v>3.1E-2</v>
      </c>
      <c r="AG171" s="42"/>
      <c r="AH171" s="42"/>
      <c r="AI171" s="42"/>
      <c r="AJ171" s="42">
        <v>0.25900000000000001</v>
      </c>
      <c r="AK171" s="39"/>
      <c r="AL171" s="39"/>
      <c r="AM171" s="39"/>
      <c r="AN171" s="39">
        <v>1618.35298630137</v>
      </c>
      <c r="AO171" s="39">
        <v>41</v>
      </c>
      <c r="AP171" s="39"/>
      <c r="AQ171" s="39"/>
      <c r="AR171" s="39"/>
      <c r="AS171" s="42"/>
      <c r="AT171" s="42"/>
      <c r="AU171" s="42"/>
      <c r="AV171" s="42"/>
      <c r="AW171" s="42"/>
      <c r="AX171" s="42"/>
      <c r="AY171" s="42"/>
      <c r="AZ171" s="42">
        <v>0.9</v>
      </c>
      <c r="BA171" s="42"/>
      <c r="BB171" s="42"/>
      <c r="BC171" s="42"/>
      <c r="BD171" s="42">
        <v>6.0999999999999999E-2</v>
      </c>
      <c r="BE171" s="42">
        <v>0.79600000000000004</v>
      </c>
      <c r="BF171" s="42"/>
      <c r="BG171" s="42"/>
      <c r="BH171" s="42"/>
      <c r="BI171" s="42"/>
      <c r="BJ171" s="42">
        <v>4.8000000000000001E-2</v>
      </c>
      <c r="BK171" s="42"/>
      <c r="BL171" s="42"/>
      <c r="BM171" s="42"/>
      <c r="BN171" s="42"/>
      <c r="BO171" s="42">
        <v>0.1</v>
      </c>
      <c r="BP171" s="42"/>
      <c r="BQ171" s="42"/>
      <c r="BR171" s="42"/>
      <c r="BS171" s="42"/>
      <c r="BT171" s="42"/>
      <c r="BU171" s="42"/>
      <c r="BV171" s="42"/>
      <c r="BW171" s="39"/>
      <c r="BX171" s="39"/>
      <c r="BY171" s="39"/>
      <c r="BZ171" s="39"/>
      <c r="CA171" s="39"/>
      <c r="CB171" s="27"/>
      <c r="CC171" s="27" t="s">
        <v>96</v>
      </c>
      <c r="CD171" s="27"/>
      <c r="CE171" s="27"/>
      <c r="CF171" s="27" t="s">
        <v>96</v>
      </c>
      <c r="CG171" s="27" t="s">
        <v>96</v>
      </c>
      <c r="CH171" s="27" t="s">
        <v>96</v>
      </c>
      <c r="CI171" s="27"/>
      <c r="CJ171" s="27" t="s">
        <v>1600</v>
      </c>
      <c r="CK171" s="27" t="s">
        <v>96</v>
      </c>
      <c r="CL171" s="27"/>
      <c r="CM171" s="27"/>
      <c r="CN171" s="27" t="s">
        <v>95</v>
      </c>
      <c r="CO171" s="27"/>
      <c r="CP171" s="27" t="s">
        <v>96</v>
      </c>
      <c r="CQ171" s="27"/>
      <c r="CR171" s="43" t="s">
        <v>96</v>
      </c>
      <c r="CS171" s="43"/>
      <c r="CT171" s="43"/>
      <c r="CU171" s="43"/>
      <c r="CV171" s="43"/>
      <c r="CW171" s="43"/>
      <c r="CX171" s="43" t="s">
        <v>96</v>
      </c>
      <c r="CY171" s="43" t="s">
        <v>106</v>
      </c>
      <c r="CZ171" s="43" t="s">
        <v>198</v>
      </c>
      <c r="DA171" s="43" t="s">
        <v>107</v>
      </c>
      <c r="DB171" s="43" t="s">
        <v>96</v>
      </c>
      <c r="DC171" s="43" t="s">
        <v>168</v>
      </c>
      <c r="DD171" s="43" t="s">
        <v>1472</v>
      </c>
      <c r="DE171" s="43" t="s">
        <v>148</v>
      </c>
      <c r="DF171" s="43" t="s">
        <v>1470</v>
      </c>
    </row>
    <row r="172" spans="1:110" ht="14">
      <c r="A172" s="27" t="s">
        <v>856</v>
      </c>
      <c r="B172" s="33" t="s">
        <v>1693</v>
      </c>
      <c r="C172" s="27" t="s">
        <v>857</v>
      </c>
      <c r="D172" s="27"/>
      <c r="E172" s="27" t="s">
        <v>93</v>
      </c>
      <c r="F172" s="44"/>
      <c r="G172" s="39">
        <v>8185494</v>
      </c>
      <c r="H172" s="40" t="s">
        <v>123</v>
      </c>
      <c r="I172" s="39" t="s">
        <v>1620</v>
      </c>
      <c r="J172" s="27"/>
      <c r="K172" s="39" t="s">
        <v>1620</v>
      </c>
      <c r="L172" s="39">
        <v>433435.10942596529</v>
      </c>
      <c r="M172" s="39">
        <v>8185494</v>
      </c>
      <c r="N172" s="41">
        <v>0.14507291196867247</v>
      </c>
      <c r="O172" s="39">
        <v>602931.86724597379</v>
      </c>
      <c r="P172" s="39">
        <v>9607929</v>
      </c>
      <c r="Q172" s="41">
        <v>0.17192759536847368</v>
      </c>
      <c r="R172" s="39">
        <v>731258.63717743382</v>
      </c>
      <c r="S172" s="39">
        <v>11313457</v>
      </c>
      <c r="T172" s="41">
        <v>0.17708542322952789</v>
      </c>
      <c r="U172" s="39">
        <v>857219.71503929561</v>
      </c>
      <c r="V172" s="39">
        <v>12875949</v>
      </c>
      <c r="W172" s="41">
        <v>0.18239798592641374</v>
      </c>
      <c r="X172" s="42"/>
      <c r="Y172" s="42"/>
      <c r="Z172" s="42"/>
      <c r="AA172" s="42"/>
      <c r="AB172" s="42"/>
      <c r="AC172" s="42"/>
      <c r="AD172" s="42"/>
      <c r="AE172" s="42"/>
      <c r="AF172" s="42"/>
      <c r="AG172" s="42"/>
      <c r="AH172" s="42"/>
      <c r="AI172" s="42"/>
      <c r="AJ172" s="42"/>
      <c r="AK172" s="39"/>
      <c r="AL172" s="39"/>
      <c r="AM172" s="39"/>
      <c r="AN172" s="39">
        <v>6000</v>
      </c>
      <c r="AO172" s="39"/>
      <c r="AP172" s="39"/>
      <c r="AQ172" s="39"/>
      <c r="AR172" s="39"/>
      <c r="AS172" s="42"/>
      <c r="AT172" s="42"/>
      <c r="AU172" s="42">
        <v>3.0000000000000001E-3</v>
      </c>
      <c r="AV172" s="42"/>
      <c r="AW172" s="42"/>
      <c r="AX172" s="42">
        <v>0.108</v>
      </c>
      <c r="AY172" s="42"/>
      <c r="AZ172" s="42"/>
      <c r="BA172" s="42">
        <v>0.27600000000000002</v>
      </c>
      <c r="BB172" s="42"/>
      <c r="BC172" s="42"/>
      <c r="BD172" s="42"/>
      <c r="BE172" s="42"/>
      <c r="BF172" s="42"/>
      <c r="BG172" s="42"/>
      <c r="BH172" s="42"/>
      <c r="BI172" s="42"/>
      <c r="BJ172" s="42"/>
      <c r="BK172" s="42"/>
      <c r="BL172" s="42"/>
      <c r="BM172" s="42"/>
      <c r="BN172" s="42"/>
      <c r="BO172" s="42"/>
      <c r="BP172" s="42"/>
      <c r="BQ172" s="42">
        <v>0.51108374384236499</v>
      </c>
      <c r="BR172" s="42">
        <v>0.27955665024630499</v>
      </c>
      <c r="BS172" s="42">
        <v>0.12068965517241401</v>
      </c>
      <c r="BT172" s="42">
        <v>8.00492610837438E-2</v>
      </c>
      <c r="BU172" s="42"/>
      <c r="BV172" s="42">
        <v>8.6206896551724102E-3</v>
      </c>
      <c r="BW172" s="39"/>
      <c r="BX172" s="39"/>
      <c r="BY172" s="39"/>
      <c r="BZ172" s="39"/>
      <c r="CA172" s="39"/>
      <c r="CB172" s="27" t="s">
        <v>95</v>
      </c>
      <c r="CC172" s="27" t="s">
        <v>96</v>
      </c>
      <c r="CD172" s="27" t="s">
        <v>96</v>
      </c>
      <c r="CE172" s="27" t="s">
        <v>858</v>
      </c>
      <c r="CF172" s="27" t="s">
        <v>96</v>
      </c>
      <c r="CG172" s="27" t="s">
        <v>96</v>
      </c>
      <c r="CH172" s="27" t="s">
        <v>95</v>
      </c>
      <c r="CI172" s="27" t="s">
        <v>95</v>
      </c>
      <c r="CJ172" s="27" t="s">
        <v>859</v>
      </c>
      <c r="CK172" s="27" t="s">
        <v>95</v>
      </c>
      <c r="CL172" s="27" t="s">
        <v>95</v>
      </c>
      <c r="CM172" s="27"/>
      <c r="CN172" s="27" t="s">
        <v>95</v>
      </c>
      <c r="CO172" s="27"/>
      <c r="CP172" s="27" t="s">
        <v>96</v>
      </c>
      <c r="CQ172" s="27" t="s">
        <v>860</v>
      </c>
      <c r="CR172" s="43"/>
      <c r="CS172" s="43"/>
      <c r="CT172" s="43"/>
      <c r="CU172" s="43"/>
      <c r="CV172" s="43"/>
      <c r="CW172" s="43"/>
      <c r="CX172" s="43"/>
      <c r="CY172" s="43"/>
      <c r="CZ172" s="43"/>
      <c r="DA172" s="43"/>
      <c r="DB172" s="43"/>
      <c r="DC172" s="43"/>
      <c r="DD172" s="43"/>
      <c r="DE172" s="43"/>
      <c r="DF172" s="43"/>
    </row>
    <row r="173" spans="1:110" ht="14">
      <c r="A173" s="27" t="s">
        <v>861</v>
      </c>
      <c r="B173" s="47" t="s">
        <v>1712</v>
      </c>
      <c r="C173" s="27" t="s">
        <v>862</v>
      </c>
      <c r="D173" s="27" t="s">
        <v>122</v>
      </c>
      <c r="E173" s="27" t="s">
        <v>122</v>
      </c>
      <c r="F173" s="39">
        <v>505439514078</v>
      </c>
      <c r="G173" s="39">
        <v>5765718</v>
      </c>
      <c r="H173" s="40">
        <v>2023</v>
      </c>
      <c r="I173" s="39">
        <v>1851948.6216</v>
      </c>
      <c r="J173" s="27" t="s">
        <v>94</v>
      </c>
      <c r="K173" s="41">
        <v>0.88</v>
      </c>
      <c r="L173" s="39">
        <v>1787655.021598317</v>
      </c>
      <c r="M173" s="39">
        <v>5534051</v>
      </c>
      <c r="N173" s="41">
        <v>0.8850090088942657</v>
      </c>
      <c r="O173" s="39">
        <v>1974930.4135742343</v>
      </c>
      <c r="P173" s="39">
        <v>6018264</v>
      </c>
      <c r="Q173" s="41">
        <v>0.89905797691290457</v>
      </c>
      <c r="R173" s="39">
        <v>2063437.8373607581</v>
      </c>
      <c r="S173" s="39">
        <v>6195539</v>
      </c>
      <c r="T173" s="41">
        <v>0.91247175571545647</v>
      </c>
      <c r="U173" s="39">
        <v>2033048.0535114389</v>
      </c>
      <c r="V173" s="39">
        <v>6090563</v>
      </c>
      <c r="W173" s="41">
        <v>0.91452870073827774</v>
      </c>
      <c r="X173" s="42">
        <v>0.11010292524376999</v>
      </c>
      <c r="Y173" s="42">
        <v>9.8862405200433393E-3</v>
      </c>
      <c r="Z173" s="42">
        <v>0.19366197183098599</v>
      </c>
      <c r="AA173" s="42">
        <v>0.14409534127844001</v>
      </c>
      <c r="AB173" s="42">
        <v>0.13556338028168999</v>
      </c>
      <c r="AC173" s="42"/>
      <c r="AD173" s="42">
        <v>5.6744312026002199E-2</v>
      </c>
      <c r="AE173" s="42">
        <v>2.9929577464788699E-2</v>
      </c>
      <c r="AF173" s="42">
        <v>3.43986998916576E-2</v>
      </c>
      <c r="AG173" s="42"/>
      <c r="AH173" s="42"/>
      <c r="AI173" s="42"/>
      <c r="AJ173" s="42">
        <v>0.28561755146262202</v>
      </c>
      <c r="AK173" s="39">
        <v>3553000</v>
      </c>
      <c r="AL173" s="39"/>
      <c r="AM173" s="39">
        <v>832000</v>
      </c>
      <c r="AN173" s="39">
        <v>121000</v>
      </c>
      <c r="AO173" s="39"/>
      <c r="AP173" s="39"/>
      <c r="AQ173" s="39"/>
      <c r="AR173" s="39"/>
      <c r="AS173" s="42"/>
      <c r="AT173" s="42"/>
      <c r="AU173" s="42"/>
      <c r="AV173" s="42"/>
      <c r="AW173" s="42"/>
      <c r="AX173" s="42"/>
      <c r="AY173" s="42"/>
      <c r="AZ173" s="42">
        <v>1</v>
      </c>
      <c r="BA173" s="42"/>
      <c r="BB173" s="42"/>
      <c r="BC173" s="42"/>
      <c r="BD173" s="42"/>
      <c r="BE173" s="42">
        <v>0.05</v>
      </c>
      <c r="BF173" s="42"/>
      <c r="BG173" s="42"/>
      <c r="BH173" s="42"/>
      <c r="BI173" s="42"/>
      <c r="BJ173" s="42">
        <v>0.52</v>
      </c>
      <c r="BK173" s="42">
        <v>0.43</v>
      </c>
      <c r="BL173" s="42"/>
      <c r="BM173" s="42"/>
      <c r="BN173" s="42"/>
      <c r="BO173" s="42"/>
      <c r="BP173" s="42"/>
      <c r="BQ173" s="42"/>
      <c r="BR173" s="42"/>
      <c r="BS173" s="42"/>
      <c r="BT173" s="42"/>
      <c r="BU173" s="42"/>
      <c r="BV173" s="42"/>
      <c r="BW173" s="39"/>
      <c r="BX173" s="39"/>
      <c r="BY173" s="39"/>
      <c r="BZ173" s="39"/>
      <c r="CA173" s="39"/>
      <c r="CB173" s="27" t="s">
        <v>96</v>
      </c>
      <c r="CC173" s="27" t="s">
        <v>96</v>
      </c>
      <c r="CD173" s="27" t="s">
        <v>96</v>
      </c>
      <c r="CE173" s="27" t="s">
        <v>863</v>
      </c>
      <c r="CF173" s="27" t="s">
        <v>96</v>
      </c>
      <c r="CG173" s="27" t="s">
        <v>96</v>
      </c>
      <c r="CH173" s="27" t="s">
        <v>96</v>
      </c>
      <c r="CI173" s="27" t="s">
        <v>864</v>
      </c>
      <c r="CJ173" s="27" t="s">
        <v>865</v>
      </c>
      <c r="CK173" s="27"/>
      <c r="CL173" s="27"/>
      <c r="CM173" s="27"/>
      <c r="CN173" s="27" t="s">
        <v>96</v>
      </c>
      <c r="CO173" s="27"/>
      <c r="CP173" s="27" t="s">
        <v>96</v>
      </c>
      <c r="CQ173" s="27"/>
      <c r="CR173" s="43" t="s">
        <v>96</v>
      </c>
      <c r="CS173" s="43" t="s">
        <v>96</v>
      </c>
      <c r="CT173" s="43"/>
      <c r="CU173" s="43"/>
      <c r="CV173" s="43" t="s">
        <v>96</v>
      </c>
      <c r="CW173" s="43"/>
      <c r="CX173" s="43" t="s">
        <v>96</v>
      </c>
      <c r="CY173" s="43" t="s">
        <v>1723</v>
      </c>
      <c r="CZ173" s="43" t="s">
        <v>109</v>
      </c>
      <c r="DA173" s="43" t="s">
        <v>1470</v>
      </c>
      <c r="DB173" s="43" t="s">
        <v>96</v>
      </c>
      <c r="DC173" s="43" t="s">
        <v>168</v>
      </c>
      <c r="DD173" s="43" t="s">
        <v>1435</v>
      </c>
      <c r="DE173" s="43" t="s">
        <v>109</v>
      </c>
      <c r="DF173" s="43" t="s">
        <v>1470</v>
      </c>
    </row>
    <row r="174" spans="1:110" ht="14.5">
      <c r="A174" s="27" t="s">
        <v>866</v>
      </c>
      <c r="B174" s="27" t="s">
        <v>1714</v>
      </c>
      <c r="C174" s="27" t="s">
        <v>1652</v>
      </c>
      <c r="D174" s="27" t="s">
        <v>122</v>
      </c>
      <c r="E174" s="27" t="s">
        <v>122</v>
      </c>
      <c r="F174" s="39">
        <v>1236428101</v>
      </c>
      <c r="G174" s="39">
        <v>40708</v>
      </c>
      <c r="H174" s="40">
        <v>2020</v>
      </c>
      <c r="I174" s="51">
        <v>14446</v>
      </c>
      <c r="J174" s="27" t="s">
        <v>94</v>
      </c>
      <c r="K174" s="41">
        <v>0.97</v>
      </c>
      <c r="L174" s="52">
        <v>15510.499209957647</v>
      </c>
      <c r="M174" s="39">
        <v>41835</v>
      </c>
      <c r="N174" s="53">
        <v>1.0157647516062056</v>
      </c>
      <c r="O174" s="52">
        <v>15560.767123360751</v>
      </c>
      <c r="P174" s="39">
        <v>46118</v>
      </c>
      <c r="Q174" s="53">
        <v>0.92441646849687853</v>
      </c>
      <c r="R174" s="52">
        <v>14664.78932335173</v>
      </c>
      <c r="S174" s="39">
        <v>49598</v>
      </c>
      <c r="T174" s="53">
        <v>0.81006300648179741</v>
      </c>
      <c r="U174" s="52">
        <v>11961.109912372063</v>
      </c>
      <c r="V174" s="39">
        <v>51005</v>
      </c>
      <c r="W174" s="53">
        <v>0.64248924896549553</v>
      </c>
      <c r="X174" s="42">
        <v>0.25700000000000001</v>
      </c>
      <c r="Y174" s="42">
        <v>0.11700000000000001</v>
      </c>
      <c r="Z174" s="42">
        <v>9.6000000000000002E-2</v>
      </c>
      <c r="AA174" s="42">
        <v>0.16300000000000001</v>
      </c>
      <c r="AB174" s="42">
        <v>0.11700000000000001</v>
      </c>
      <c r="AC174" s="42"/>
      <c r="AD174" s="42"/>
      <c r="AE174" s="42">
        <v>0.20200000000000001</v>
      </c>
      <c r="AF174" s="42"/>
      <c r="AG174" s="42"/>
      <c r="AH174" s="42">
        <v>1.0999999999999999E-2</v>
      </c>
      <c r="AI174" s="42"/>
      <c r="AJ174" s="42">
        <v>3.6999999999999998E-2</v>
      </c>
      <c r="AK174" s="39"/>
      <c r="AL174" s="39"/>
      <c r="AM174" s="39"/>
      <c r="AN174" s="39"/>
      <c r="AO174" s="39"/>
      <c r="AP174" s="39"/>
      <c r="AQ174" s="39"/>
      <c r="AR174" s="39"/>
      <c r="AS174" s="42"/>
      <c r="AT174" s="42"/>
      <c r="AU174" s="42"/>
      <c r="AV174" s="42"/>
      <c r="AW174" s="42"/>
      <c r="AX174" s="42"/>
      <c r="AY174" s="42"/>
      <c r="AZ174" s="42"/>
      <c r="BA174" s="42"/>
      <c r="BB174" s="42"/>
      <c r="BC174" s="42"/>
      <c r="BD174" s="42">
        <v>0.9</v>
      </c>
      <c r="BE174" s="42"/>
      <c r="BF174" s="42"/>
      <c r="BG174" s="42"/>
      <c r="BH174" s="42"/>
      <c r="BI174" s="42"/>
      <c r="BJ174" s="42">
        <v>0.1</v>
      </c>
      <c r="BK174" s="42"/>
      <c r="BL174" s="42"/>
      <c r="BM174" s="42"/>
      <c r="BN174" s="42"/>
      <c r="BO174" s="42"/>
      <c r="BP174" s="42"/>
      <c r="BQ174" s="42"/>
      <c r="BR174" s="42"/>
      <c r="BS174" s="42"/>
      <c r="BT174" s="42"/>
      <c r="BU174" s="42"/>
      <c r="BV174" s="42"/>
      <c r="BW174" s="39"/>
      <c r="BX174" s="39"/>
      <c r="BY174" s="39"/>
      <c r="BZ174" s="39"/>
      <c r="CA174" s="39"/>
      <c r="CB174" s="27" t="s">
        <v>95</v>
      </c>
      <c r="CC174" s="27" t="s">
        <v>95</v>
      </c>
      <c r="CD174" s="27" t="s">
        <v>96</v>
      </c>
      <c r="CE174" s="27" t="s">
        <v>868</v>
      </c>
      <c r="CF174" s="27" t="s">
        <v>96</v>
      </c>
      <c r="CG174" s="27" t="s">
        <v>95</v>
      </c>
      <c r="CH174" s="27" t="s">
        <v>96</v>
      </c>
      <c r="CI174" s="27"/>
      <c r="CJ174" s="27" t="s">
        <v>123</v>
      </c>
      <c r="CK174" s="27"/>
      <c r="CL174" s="27" t="s">
        <v>96</v>
      </c>
      <c r="CM174" s="27" t="s">
        <v>700</v>
      </c>
      <c r="CN174" s="27"/>
      <c r="CO174" s="27"/>
      <c r="CP174" s="27"/>
      <c r="CQ174" s="27"/>
      <c r="CR174" s="43"/>
      <c r="CS174" s="43"/>
      <c r="CT174" s="43"/>
      <c r="CU174" s="43"/>
      <c r="CV174" s="43"/>
      <c r="CW174" s="43"/>
      <c r="CX174" s="43"/>
      <c r="CY174" s="43"/>
      <c r="CZ174" s="43"/>
      <c r="DA174" s="43"/>
      <c r="DB174" s="43"/>
      <c r="DC174" s="43"/>
      <c r="DD174" s="43"/>
      <c r="DE174" s="43"/>
      <c r="DF174" s="43"/>
    </row>
    <row r="175" spans="1:110" ht="14">
      <c r="A175" s="27" t="s">
        <v>869</v>
      </c>
      <c r="B175" s="27" t="s">
        <v>1713</v>
      </c>
      <c r="C175" s="27" t="s">
        <v>870</v>
      </c>
      <c r="D175" s="27" t="s">
        <v>122</v>
      </c>
      <c r="E175" s="27" t="s">
        <v>122</v>
      </c>
      <c r="F175" s="39">
        <v>115884262198</v>
      </c>
      <c r="G175" s="39">
        <v>5429857</v>
      </c>
      <c r="H175" s="40">
        <v>2022</v>
      </c>
      <c r="I175" s="39">
        <v>2597456.7000000002</v>
      </c>
      <c r="J175" s="27" t="s">
        <v>94</v>
      </c>
      <c r="K175" s="41">
        <v>1.3105906336073672</v>
      </c>
      <c r="L175" s="39">
        <v>2597456.7000000002</v>
      </c>
      <c r="M175" s="39">
        <v>5429857</v>
      </c>
      <c r="N175" s="41">
        <v>1.3105906336073672</v>
      </c>
      <c r="O175" s="39">
        <v>2746882.801072605</v>
      </c>
      <c r="P175" s="39">
        <v>5409302</v>
      </c>
      <c r="Q175" s="41">
        <v>1.3912527539243524</v>
      </c>
      <c r="R175" s="39">
        <v>2815916.368827397</v>
      </c>
      <c r="S175" s="39">
        <v>5204198</v>
      </c>
      <c r="T175" s="41">
        <v>1.4824261810658246</v>
      </c>
      <c r="U175" s="39">
        <v>2796404.5636120923</v>
      </c>
      <c r="V175" s="39">
        <v>4949954</v>
      </c>
      <c r="W175" s="41">
        <v>1.5477683966478328</v>
      </c>
      <c r="X175" s="42">
        <v>0.57509299815908099</v>
      </c>
      <c r="Y175" s="42">
        <v>0.102641190037876</v>
      </c>
      <c r="Z175" s="42">
        <v>2.91110687911297E-2</v>
      </c>
      <c r="AA175" s="42">
        <v>0.15024270509321</v>
      </c>
      <c r="AB175" s="42">
        <v>0.12780803656446399</v>
      </c>
      <c r="AC175" s="42"/>
      <c r="AD175" s="42"/>
      <c r="AE175" s="42"/>
      <c r="AF175" s="42"/>
      <c r="AG175" s="42"/>
      <c r="AH175" s="42"/>
      <c r="AI175" s="42"/>
      <c r="AJ175" s="42">
        <v>1.5104001354239401E-2</v>
      </c>
      <c r="AK175" s="39">
        <v>531546.69999999995</v>
      </c>
      <c r="AL175" s="39">
        <v>459277.3</v>
      </c>
      <c r="AM175" s="39">
        <v>1303677.3999999999</v>
      </c>
      <c r="AN175" s="39">
        <v>84000</v>
      </c>
      <c r="AO175" s="39">
        <v>474305.7</v>
      </c>
      <c r="AP175" s="39">
        <v>3365734.3</v>
      </c>
      <c r="AQ175" s="39">
        <v>160208.20000000001</v>
      </c>
      <c r="AR175" s="39">
        <v>84894.6</v>
      </c>
      <c r="AS175" s="42"/>
      <c r="AT175" s="42"/>
      <c r="AU175" s="42"/>
      <c r="AV175" s="42"/>
      <c r="AW175" s="42"/>
      <c r="AX175" s="42"/>
      <c r="AY175" s="42"/>
      <c r="AZ175" s="42"/>
      <c r="BA175" s="42"/>
      <c r="BB175" s="42"/>
      <c r="BC175" s="42"/>
      <c r="BD175" s="42"/>
      <c r="BE175" s="42"/>
      <c r="BF175" s="42"/>
      <c r="BG175" s="42">
        <v>0.39330158586672798</v>
      </c>
      <c r="BH175" s="42"/>
      <c r="BI175" s="42">
        <v>0.29059261278898701</v>
      </c>
      <c r="BJ175" s="42">
        <v>0.204641224804295</v>
      </c>
      <c r="BK175" s="42">
        <v>7.8425063964495098E-2</v>
      </c>
      <c r="BL175" s="42"/>
      <c r="BM175" s="42"/>
      <c r="BN175" s="42">
        <v>3.3039512575494E-2</v>
      </c>
      <c r="BO175" s="42"/>
      <c r="BP175" s="42"/>
      <c r="BQ175" s="42"/>
      <c r="BR175" s="42"/>
      <c r="BS175" s="42"/>
      <c r="BT175" s="42"/>
      <c r="BU175" s="42"/>
      <c r="BV175" s="42"/>
      <c r="BW175" s="39">
        <v>9120</v>
      </c>
      <c r="BX175" s="39"/>
      <c r="BY175" s="39"/>
      <c r="BZ175" s="39"/>
      <c r="CA175" s="39"/>
      <c r="CB175" s="27" t="s">
        <v>96</v>
      </c>
      <c r="CC175" s="27" t="s">
        <v>96</v>
      </c>
      <c r="CD175" s="27" t="s">
        <v>96</v>
      </c>
      <c r="CE175" s="27" t="s">
        <v>871</v>
      </c>
      <c r="CF175" s="27" t="s">
        <v>96</v>
      </c>
      <c r="CG175" s="27" t="s">
        <v>96</v>
      </c>
      <c r="CH175" s="27" t="s">
        <v>96</v>
      </c>
      <c r="CI175" s="27" t="s">
        <v>872</v>
      </c>
      <c r="CJ175" s="27" t="s">
        <v>1601</v>
      </c>
      <c r="CK175" s="27"/>
      <c r="CL175" s="27" t="s">
        <v>96</v>
      </c>
      <c r="CM175" s="27" t="s">
        <v>873</v>
      </c>
      <c r="CN175" s="27" t="s">
        <v>96</v>
      </c>
      <c r="CO175" s="27"/>
      <c r="CP175" s="27" t="s">
        <v>96</v>
      </c>
      <c r="CQ175" s="27"/>
      <c r="CR175" s="43" t="s">
        <v>96</v>
      </c>
      <c r="CS175" s="43" t="s">
        <v>96</v>
      </c>
      <c r="CT175" s="43"/>
      <c r="CU175" s="43" t="s">
        <v>96</v>
      </c>
      <c r="CV175" s="43" t="s">
        <v>96</v>
      </c>
      <c r="CW175" s="43" t="s">
        <v>96</v>
      </c>
      <c r="CX175" s="43" t="s">
        <v>96</v>
      </c>
      <c r="CY175" s="43" t="s">
        <v>1723</v>
      </c>
      <c r="CZ175" s="43" t="s">
        <v>109</v>
      </c>
      <c r="DA175" s="43" t="s">
        <v>1470</v>
      </c>
      <c r="DB175" s="43" t="s">
        <v>96</v>
      </c>
      <c r="DC175" s="43" t="s">
        <v>168</v>
      </c>
      <c r="DD175" s="43" t="s">
        <v>1435</v>
      </c>
      <c r="DE175" s="43" t="s">
        <v>109</v>
      </c>
      <c r="DF175" s="43" t="s">
        <v>1470</v>
      </c>
    </row>
    <row r="176" spans="1:110" ht="14">
      <c r="A176" s="27" t="s">
        <v>874</v>
      </c>
      <c r="B176" s="27" t="s">
        <v>1713</v>
      </c>
      <c r="C176" s="27" t="s">
        <v>875</v>
      </c>
      <c r="D176" s="27" t="s">
        <v>122</v>
      </c>
      <c r="E176" s="27" t="s">
        <v>122</v>
      </c>
      <c r="F176" s="39">
        <v>59927702746</v>
      </c>
      <c r="G176" s="39">
        <v>2112888</v>
      </c>
      <c r="H176" s="40">
        <v>2022</v>
      </c>
      <c r="I176" s="39">
        <v>1064576</v>
      </c>
      <c r="J176" s="27" t="s">
        <v>94</v>
      </c>
      <c r="K176" s="41">
        <v>1.3804075631753627</v>
      </c>
      <c r="L176" s="39">
        <v>1064576</v>
      </c>
      <c r="M176" s="39">
        <v>2112888</v>
      </c>
      <c r="N176" s="41">
        <v>1.3804075631753627</v>
      </c>
      <c r="O176" s="39">
        <v>1124360.6232021023</v>
      </c>
      <c r="P176" s="39">
        <v>2101310</v>
      </c>
      <c r="Q176" s="41">
        <v>1.4659617398515228</v>
      </c>
      <c r="R176" s="39">
        <v>1143997.740377682</v>
      </c>
      <c r="S176" s="39">
        <v>2049371.9999999998</v>
      </c>
      <c r="T176" s="41">
        <v>1.5293662568808346</v>
      </c>
      <c r="U176" s="39">
        <v>1135430.7286378762</v>
      </c>
      <c r="V176" s="39">
        <v>1985456</v>
      </c>
      <c r="W176" s="41">
        <v>1.5667781706347685</v>
      </c>
      <c r="X176" s="42">
        <v>0.148587493894283</v>
      </c>
      <c r="Y176" s="42">
        <v>5.1143552080828401E-2</v>
      </c>
      <c r="Z176" s="42">
        <v>5.5677564119424101E-2</v>
      </c>
      <c r="AA176" s="42">
        <v>0.21585709127389699</v>
      </c>
      <c r="AB176" s="42">
        <v>6.7193880474479994E-2</v>
      </c>
      <c r="AC176" s="42"/>
      <c r="AD176" s="42">
        <v>7.6912606521281707E-2</v>
      </c>
      <c r="AE176" s="42">
        <v>7.6456730191174702E-2</v>
      </c>
      <c r="AF176" s="42">
        <v>2.5706528420704599E-2</v>
      </c>
      <c r="AG176" s="42">
        <v>9.4103192256823395E-3</v>
      </c>
      <c r="AH176" s="42">
        <v>7.04036160875316E-3</v>
      </c>
      <c r="AI176" s="42"/>
      <c r="AJ176" s="42">
        <v>0.26601387218949102</v>
      </c>
      <c r="AK176" s="39">
        <v>300201</v>
      </c>
      <c r="AL176" s="39">
        <v>55730</v>
      </c>
      <c r="AM176" s="39">
        <v>473118</v>
      </c>
      <c r="AN176" s="39">
        <v>36000</v>
      </c>
      <c r="AO176" s="39">
        <v>132580</v>
      </c>
      <c r="AP176" s="39">
        <v>1262532</v>
      </c>
      <c r="AQ176" s="39">
        <v>8827</v>
      </c>
      <c r="AR176" s="39">
        <v>4469</v>
      </c>
      <c r="AS176" s="42"/>
      <c r="AT176" s="42"/>
      <c r="AU176" s="42"/>
      <c r="AV176" s="42"/>
      <c r="AW176" s="42"/>
      <c r="AX176" s="42"/>
      <c r="AY176" s="42"/>
      <c r="AZ176" s="42">
        <v>0.98229999999999995</v>
      </c>
      <c r="BA176" s="42"/>
      <c r="BB176" s="42"/>
      <c r="BC176" s="42"/>
      <c r="BD176" s="42"/>
      <c r="BE176" s="42"/>
      <c r="BF176" s="42"/>
      <c r="BG176" s="42">
        <v>7.7943575202511398E-2</v>
      </c>
      <c r="BH176" s="42"/>
      <c r="BI176" s="42">
        <v>0.15877394948659701</v>
      </c>
      <c r="BJ176" s="42">
        <v>0.460925586691394</v>
      </c>
      <c r="BK176" s="42">
        <v>0.12605689322875299</v>
      </c>
      <c r="BL176" s="42"/>
      <c r="BM176" s="42"/>
      <c r="BN176" s="42"/>
      <c r="BO176" s="42">
        <v>1.7526045904147001E-2</v>
      </c>
      <c r="BP176" s="42">
        <v>0.15877394948659701</v>
      </c>
      <c r="BQ176" s="42"/>
      <c r="BR176" s="42"/>
      <c r="BS176" s="42"/>
      <c r="BT176" s="42"/>
      <c r="BU176" s="42"/>
      <c r="BV176" s="42"/>
      <c r="BW176" s="39">
        <v>5200</v>
      </c>
      <c r="BX176" s="39"/>
      <c r="BY176" s="39"/>
      <c r="BZ176" s="39"/>
      <c r="CA176" s="39"/>
      <c r="CB176" s="27" t="s">
        <v>96</v>
      </c>
      <c r="CC176" s="27" t="s">
        <v>96</v>
      </c>
      <c r="CD176" s="27" t="s">
        <v>96</v>
      </c>
      <c r="CE176" s="27" t="s">
        <v>876</v>
      </c>
      <c r="CF176" s="27" t="s">
        <v>96</v>
      </c>
      <c r="CG176" s="27" t="s">
        <v>96</v>
      </c>
      <c r="CH176" s="27" t="s">
        <v>96</v>
      </c>
      <c r="CI176" s="27" t="s">
        <v>877</v>
      </c>
      <c r="CJ176" s="27" t="s">
        <v>1605</v>
      </c>
      <c r="CK176" s="27"/>
      <c r="CL176" s="27" t="s">
        <v>96</v>
      </c>
      <c r="CM176" s="27" t="s">
        <v>878</v>
      </c>
      <c r="CN176" s="27" t="s">
        <v>96</v>
      </c>
      <c r="CO176" s="27"/>
      <c r="CP176" s="27" t="s">
        <v>96</v>
      </c>
      <c r="CQ176" s="27"/>
      <c r="CR176" s="43" t="s">
        <v>96</v>
      </c>
      <c r="CS176" s="43" t="s">
        <v>96</v>
      </c>
      <c r="CT176" s="43"/>
      <c r="CU176" s="43" t="s">
        <v>96</v>
      </c>
      <c r="CV176" s="43" t="s">
        <v>96</v>
      </c>
      <c r="CW176" s="43" t="s">
        <v>96</v>
      </c>
      <c r="CX176" s="43" t="s">
        <v>96</v>
      </c>
      <c r="CY176" s="43" t="s">
        <v>1723</v>
      </c>
      <c r="CZ176" s="43" t="s">
        <v>109</v>
      </c>
      <c r="DA176" s="43" t="s">
        <v>1470</v>
      </c>
      <c r="DB176" s="43" t="s">
        <v>96</v>
      </c>
      <c r="DC176" s="43" t="s">
        <v>168</v>
      </c>
      <c r="DD176" s="43" t="s">
        <v>1069</v>
      </c>
      <c r="DE176" s="43" t="s">
        <v>106</v>
      </c>
      <c r="DF176" s="43" t="s">
        <v>197</v>
      </c>
    </row>
    <row r="177" spans="1:110" ht="14">
      <c r="A177" s="27" t="s">
        <v>879</v>
      </c>
      <c r="B177" s="47" t="s">
        <v>1712</v>
      </c>
      <c r="C177" s="27" t="s">
        <v>880</v>
      </c>
      <c r="D177" s="27" t="s">
        <v>1651</v>
      </c>
      <c r="E177" s="27" t="s">
        <v>1651</v>
      </c>
      <c r="F177" s="39">
        <v>1469789119.0899999</v>
      </c>
      <c r="G177" s="39">
        <v>673962</v>
      </c>
      <c r="H177" s="40">
        <v>2017</v>
      </c>
      <c r="I177" s="39">
        <v>211556.67179999998</v>
      </c>
      <c r="J177" s="27" t="s">
        <v>94</v>
      </c>
      <c r="K177" s="41">
        <v>0.86</v>
      </c>
      <c r="L177" s="39">
        <v>229828.18990963613</v>
      </c>
      <c r="M177" s="39">
        <v>771660</v>
      </c>
      <c r="N177" s="41">
        <v>0.81598926175392072</v>
      </c>
      <c r="O177" s="39">
        <v>282898.31028166052</v>
      </c>
      <c r="P177" s="39">
        <v>928225</v>
      </c>
      <c r="Q177" s="41">
        <v>0.83499567861819202</v>
      </c>
      <c r="R177" s="39">
        <v>353593.48940772243</v>
      </c>
      <c r="S177" s="39">
        <v>1126393</v>
      </c>
      <c r="T177" s="41">
        <v>0.86004554897673779</v>
      </c>
      <c r="U177" s="39">
        <v>420593.67534670449</v>
      </c>
      <c r="V177" s="39">
        <v>1300802</v>
      </c>
      <c r="W177" s="41">
        <v>0.88584691544604</v>
      </c>
      <c r="X177" s="42">
        <v>0.622</v>
      </c>
      <c r="Y177" s="42">
        <v>2.9000000000000001E-2</v>
      </c>
      <c r="Z177" s="42">
        <v>0.129</v>
      </c>
      <c r="AA177" s="42">
        <v>3.6999999999999998E-2</v>
      </c>
      <c r="AB177" s="42">
        <v>0.10299999999999999</v>
      </c>
      <c r="AC177" s="42"/>
      <c r="AD177" s="42"/>
      <c r="AE177" s="42"/>
      <c r="AF177" s="42"/>
      <c r="AG177" s="42">
        <v>1E-3</v>
      </c>
      <c r="AH177" s="42">
        <v>2E-3</v>
      </c>
      <c r="AI177" s="42">
        <v>4.1000000000000002E-2</v>
      </c>
      <c r="AJ177" s="42">
        <v>3.6999999999999998E-2</v>
      </c>
      <c r="AK177" s="39"/>
      <c r="AL177" s="39"/>
      <c r="AM177" s="39"/>
      <c r="AN177" s="39">
        <v>800</v>
      </c>
      <c r="AO177" s="39"/>
      <c r="AP177" s="39"/>
      <c r="AQ177" s="39"/>
      <c r="AR177" s="39">
        <v>252.2</v>
      </c>
      <c r="AS177" s="42">
        <v>0.29699999999999999</v>
      </c>
      <c r="AT177" s="42">
        <v>0.623</v>
      </c>
      <c r="AU177" s="42"/>
      <c r="AV177" s="42"/>
      <c r="AW177" s="42"/>
      <c r="AX177" s="42"/>
      <c r="AY177" s="42">
        <v>0.12</v>
      </c>
      <c r="AZ177" s="42"/>
      <c r="BA177" s="42"/>
      <c r="BB177" s="42">
        <v>0.51</v>
      </c>
      <c r="BC177" s="42"/>
      <c r="BD177" s="42"/>
      <c r="BE177" s="42">
        <v>9.5410283368469406E-2</v>
      </c>
      <c r="BF177" s="42"/>
      <c r="BG177" s="42"/>
      <c r="BH177" s="42"/>
      <c r="BI177" s="42"/>
      <c r="BJ177" s="42"/>
      <c r="BK177" s="42"/>
      <c r="BL177" s="42"/>
      <c r="BM177" s="42"/>
      <c r="BN177" s="42"/>
      <c r="BO177" s="42"/>
      <c r="BP177" s="42">
        <v>0.90458971663153098</v>
      </c>
      <c r="BQ177" s="42"/>
      <c r="BR177" s="42"/>
      <c r="BS177" s="42"/>
      <c r="BT177" s="42"/>
      <c r="BU177" s="42"/>
      <c r="BV177" s="42"/>
      <c r="BW177" s="39"/>
      <c r="BX177" s="39"/>
      <c r="BY177" s="39"/>
      <c r="BZ177" s="39"/>
      <c r="CA177" s="39"/>
      <c r="CB177" s="27" t="s">
        <v>96</v>
      </c>
      <c r="CC177" s="27" t="s">
        <v>95</v>
      </c>
      <c r="CD177" s="27" t="s">
        <v>96</v>
      </c>
      <c r="CE177" s="27" t="s">
        <v>881</v>
      </c>
      <c r="CF177" s="27" t="s">
        <v>96</v>
      </c>
      <c r="CG177" s="27" t="s">
        <v>95</v>
      </c>
      <c r="CH177" s="27" t="s">
        <v>95</v>
      </c>
      <c r="CI177" s="27" t="s">
        <v>882</v>
      </c>
      <c r="CJ177" s="27" t="s">
        <v>1557</v>
      </c>
      <c r="CK177" s="27"/>
      <c r="CL177" s="27" t="s">
        <v>96</v>
      </c>
      <c r="CM177" s="27" t="s">
        <v>883</v>
      </c>
      <c r="CN177" s="27" t="s">
        <v>95</v>
      </c>
      <c r="CO177" s="27"/>
      <c r="CP177" s="27"/>
      <c r="CQ177" s="27"/>
      <c r="CR177" s="43" t="s">
        <v>96</v>
      </c>
      <c r="CS177" s="43" t="s">
        <v>96</v>
      </c>
      <c r="CT177" s="43"/>
      <c r="CU177" s="43"/>
      <c r="CV177" s="43"/>
      <c r="CW177" s="43"/>
      <c r="CX177" s="43"/>
      <c r="CY177" s="43" t="s">
        <v>106</v>
      </c>
      <c r="CZ177" s="43" t="s">
        <v>198</v>
      </c>
      <c r="DA177" s="43" t="s">
        <v>107</v>
      </c>
      <c r="DB177" s="43"/>
      <c r="DC177" s="43"/>
      <c r="DD177" s="43"/>
      <c r="DE177" s="43"/>
      <c r="DF177" s="43"/>
    </row>
    <row r="178" spans="1:110" ht="14">
      <c r="A178" s="27" t="s">
        <v>884</v>
      </c>
      <c r="B178" s="33" t="s">
        <v>1693</v>
      </c>
      <c r="C178" s="27" t="s">
        <v>1468</v>
      </c>
      <c r="D178" s="27"/>
      <c r="E178" s="27" t="s">
        <v>93</v>
      </c>
      <c r="F178" s="44"/>
      <c r="G178" s="39">
        <v>17572390</v>
      </c>
      <c r="H178" s="40" t="s">
        <v>123</v>
      </c>
      <c r="I178" s="39" t="s">
        <v>1620</v>
      </c>
      <c r="J178" s="27"/>
      <c r="K178" s="39" t="s">
        <v>1620</v>
      </c>
      <c r="L178" s="39">
        <v>828483.6260641322</v>
      </c>
      <c r="M178" s="39">
        <v>17572390</v>
      </c>
      <c r="N178" s="41">
        <v>0.12916957531675327</v>
      </c>
      <c r="O178" s="39">
        <v>1137903.3991908843</v>
      </c>
      <c r="P178" s="39">
        <v>22575120</v>
      </c>
      <c r="Q178" s="41">
        <v>0.13809643357054494</v>
      </c>
      <c r="R178" s="39">
        <v>1532678.5354617652</v>
      </c>
      <c r="S178" s="39">
        <v>29521507</v>
      </c>
      <c r="T178" s="41">
        <v>0.14223932657766128</v>
      </c>
      <c r="U178" s="39">
        <v>1969713.9667751784</v>
      </c>
      <c r="V178" s="39">
        <v>36834382</v>
      </c>
      <c r="W178" s="41">
        <v>0.14650650637499113</v>
      </c>
      <c r="X178" s="42"/>
      <c r="Y178" s="42"/>
      <c r="Z178" s="42"/>
      <c r="AA178" s="42"/>
      <c r="AB178" s="42"/>
      <c r="AC178" s="42"/>
      <c r="AD178" s="42"/>
      <c r="AE178" s="42"/>
      <c r="AF178" s="42"/>
      <c r="AG178" s="42"/>
      <c r="AH178" s="42"/>
      <c r="AI178" s="42"/>
      <c r="AJ178" s="42"/>
      <c r="AK178" s="39"/>
      <c r="AL178" s="39"/>
      <c r="AM178" s="39"/>
      <c r="AN178" s="39">
        <v>9000</v>
      </c>
      <c r="AO178" s="39"/>
      <c r="AP178" s="39"/>
      <c r="AQ178" s="39"/>
      <c r="AR178" s="39"/>
      <c r="AS178" s="42"/>
      <c r="AT178" s="42"/>
      <c r="AU178" s="42">
        <v>0.23250000000000001</v>
      </c>
      <c r="AV178" s="42"/>
      <c r="AW178" s="42"/>
      <c r="AX178" s="42"/>
      <c r="AY178" s="42"/>
      <c r="AZ178" s="42"/>
      <c r="BA178" s="42"/>
      <c r="BB178" s="42"/>
      <c r="BC178" s="42"/>
      <c r="BD178" s="42"/>
      <c r="BE178" s="42"/>
      <c r="BF178" s="42"/>
      <c r="BG178" s="42"/>
      <c r="BH178" s="42"/>
      <c r="BI178" s="42"/>
      <c r="BJ178" s="42"/>
      <c r="BK178" s="42"/>
      <c r="BL178" s="42"/>
      <c r="BM178" s="42"/>
      <c r="BN178" s="42"/>
      <c r="BO178" s="42"/>
      <c r="BP178" s="42"/>
      <c r="BQ178" s="42">
        <v>0.2029</v>
      </c>
      <c r="BR178" s="42">
        <v>0.78700000000000003</v>
      </c>
      <c r="BS178" s="42"/>
      <c r="BT178" s="42"/>
      <c r="BU178" s="42"/>
      <c r="BV178" s="42">
        <v>0.01</v>
      </c>
      <c r="BW178" s="39"/>
      <c r="BX178" s="39"/>
      <c r="BY178" s="39"/>
      <c r="BZ178" s="39"/>
      <c r="CA178" s="39"/>
      <c r="CB178" s="27" t="s">
        <v>95</v>
      </c>
      <c r="CC178" s="27" t="s">
        <v>96</v>
      </c>
      <c r="CD178" s="27" t="s">
        <v>95</v>
      </c>
      <c r="CE178" s="27" t="s">
        <v>886</v>
      </c>
      <c r="CF178" s="27" t="s">
        <v>96</v>
      </c>
      <c r="CG178" s="27" t="s">
        <v>96</v>
      </c>
      <c r="CH178" s="27" t="s">
        <v>95</v>
      </c>
      <c r="CI178" s="27" t="s">
        <v>95</v>
      </c>
      <c r="CJ178" s="27" t="s">
        <v>123</v>
      </c>
      <c r="CK178" s="27"/>
      <c r="CL178" s="27" t="s">
        <v>96</v>
      </c>
      <c r="CM178" s="27" t="s">
        <v>887</v>
      </c>
      <c r="CN178" s="27"/>
      <c r="CO178" s="27"/>
      <c r="CP178" s="27"/>
      <c r="CQ178" s="27"/>
      <c r="CR178" s="43"/>
      <c r="CS178" s="43"/>
      <c r="CT178" s="43"/>
      <c r="CU178" s="43"/>
      <c r="CV178" s="43"/>
      <c r="CW178" s="43"/>
      <c r="CX178" s="43"/>
      <c r="CY178" s="43"/>
      <c r="CZ178" s="43"/>
      <c r="DA178" s="43"/>
      <c r="DB178" s="43"/>
      <c r="DC178" s="43"/>
      <c r="DD178" s="43"/>
      <c r="DE178" s="43"/>
      <c r="DF178" s="43"/>
    </row>
    <row r="179" spans="1:110" ht="14">
      <c r="A179" s="27" t="s">
        <v>888</v>
      </c>
      <c r="B179" s="33" t="s">
        <v>1693</v>
      </c>
      <c r="C179" s="27" t="s">
        <v>889</v>
      </c>
      <c r="D179" s="27" t="s">
        <v>1650</v>
      </c>
      <c r="E179" s="27" t="s">
        <v>1650</v>
      </c>
      <c r="F179" s="39">
        <v>380699271816</v>
      </c>
      <c r="G179" s="39">
        <v>62796883</v>
      </c>
      <c r="H179" s="40">
        <v>2023</v>
      </c>
      <c r="I179" s="39">
        <v>7995632.2999999998</v>
      </c>
      <c r="J179" s="27" t="s">
        <v>94</v>
      </c>
      <c r="K179" s="41">
        <v>0.34883645288267284</v>
      </c>
      <c r="L179" s="39">
        <v>7901976.4785691258</v>
      </c>
      <c r="M179" s="39">
        <v>61959937</v>
      </c>
      <c r="N179" s="41">
        <v>0.34940724078232654</v>
      </c>
      <c r="O179" s="39">
        <v>8975477.3556044102</v>
      </c>
      <c r="P179" s="39">
        <v>67840954</v>
      </c>
      <c r="Q179" s="41">
        <v>0.36247056489600865</v>
      </c>
      <c r="R179" s="39">
        <v>11181286.174884588</v>
      </c>
      <c r="S179" s="39">
        <v>73765793</v>
      </c>
      <c r="T179" s="41">
        <v>0.41528274159688705</v>
      </c>
      <c r="U179" s="39">
        <v>13932025.690498121</v>
      </c>
      <c r="V179" s="39">
        <v>78941387</v>
      </c>
      <c r="W179" s="41">
        <v>0.48352245696702789</v>
      </c>
      <c r="X179" s="42">
        <v>0.30073498663160197</v>
      </c>
      <c r="Y179" s="42">
        <v>0.122880352522273</v>
      </c>
      <c r="Z179" s="42">
        <v>0.18016780216304101</v>
      </c>
      <c r="AA179" s="42">
        <v>9.8711238066371096E-2</v>
      </c>
      <c r="AB179" s="42">
        <v>4.9701564262366403E-2</v>
      </c>
      <c r="AC179" s="42"/>
      <c r="AD179" s="42"/>
      <c r="AE179" s="42"/>
      <c r="AF179" s="42"/>
      <c r="AG179" s="42"/>
      <c r="AH179" s="42"/>
      <c r="AI179" s="42"/>
      <c r="AJ179" s="42">
        <v>0.24780405635434599</v>
      </c>
      <c r="AK179" s="39"/>
      <c r="AL179" s="39"/>
      <c r="AM179" s="39">
        <v>4482992</v>
      </c>
      <c r="AN179" s="39">
        <v>527000</v>
      </c>
      <c r="AO179" s="39">
        <v>40200000</v>
      </c>
      <c r="AP179" s="39">
        <v>360884</v>
      </c>
      <c r="AQ179" s="39"/>
      <c r="AR179" s="39"/>
      <c r="AS179" s="42"/>
      <c r="AT179" s="42"/>
      <c r="AU179" s="42">
        <v>0.13</v>
      </c>
      <c r="AV179" s="42"/>
      <c r="AW179" s="42"/>
      <c r="AX179" s="42">
        <v>0.69</v>
      </c>
      <c r="AY179" s="42">
        <v>0.57299999999999995</v>
      </c>
      <c r="AZ179" s="42">
        <v>0.68600000000000005</v>
      </c>
      <c r="BA179" s="42">
        <v>0.90749999999999997</v>
      </c>
      <c r="BB179" s="42"/>
      <c r="BC179" s="42"/>
      <c r="BD179" s="42"/>
      <c r="BE179" s="42"/>
      <c r="BF179" s="42"/>
      <c r="BG179" s="42">
        <v>0.60219999999999996</v>
      </c>
      <c r="BH179" s="42"/>
      <c r="BI179" s="42"/>
      <c r="BJ179" s="42">
        <v>8.3699999999999997E-2</v>
      </c>
      <c r="BK179" s="42"/>
      <c r="BL179" s="42"/>
      <c r="BM179" s="42"/>
      <c r="BN179" s="42">
        <v>1.1000000000000001E-3</v>
      </c>
      <c r="BO179" s="42">
        <v>0.314</v>
      </c>
      <c r="BP179" s="42"/>
      <c r="BQ179" s="42">
        <v>0.92500000000000004</v>
      </c>
      <c r="BR179" s="42"/>
      <c r="BS179" s="42"/>
      <c r="BT179" s="42"/>
      <c r="BU179" s="42"/>
      <c r="BV179" s="42">
        <v>7.4999999999999997E-2</v>
      </c>
      <c r="BW179" s="39"/>
      <c r="BX179" s="39"/>
      <c r="BY179" s="39"/>
      <c r="BZ179" s="39"/>
      <c r="CA179" s="39"/>
      <c r="CB179" s="27" t="s">
        <v>96</v>
      </c>
      <c r="CC179" s="27" t="s">
        <v>96</v>
      </c>
      <c r="CD179" s="27" t="s">
        <v>96</v>
      </c>
      <c r="CE179" s="27" t="s">
        <v>890</v>
      </c>
      <c r="CF179" s="27" t="s">
        <v>96</v>
      </c>
      <c r="CG179" s="27" t="s">
        <v>96</v>
      </c>
      <c r="CH179" s="27"/>
      <c r="CI179" s="27"/>
      <c r="CJ179" s="27" t="s">
        <v>891</v>
      </c>
      <c r="CK179" s="27"/>
      <c r="CL179" s="27"/>
      <c r="CM179" s="27"/>
      <c r="CN179" s="27" t="s">
        <v>96</v>
      </c>
      <c r="CO179" s="27"/>
      <c r="CP179" s="27"/>
      <c r="CQ179" s="27"/>
      <c r="CR179" s="43" t="s">
        <v>96</v>
      </c>
      <c r="CS179" s="43" t="s">
        <v>96</v>
      </c>
      <c r="CT179" s="43" t="s">
        <v>96</v>
      </c>
      <c r="CU179" s="43"/>
      <c r="CV179" s="43" t="s">
        <v>96</v>
      </c>
      <c r="CW179" s="43"/>
      <c r="CX179" s="43" t="s">
        <v>96</v>
      </c>
      <c r="CY179" s="43" t="s">
        <v>1723</v>
      </c>
      <c r="CZ179" s="43" t="s">
        <v>109</v>
      </c>
      <c r="DA179" s="43" t="s">
        <v>1470</v>
      </c>
      <c r="DB179" s="43"/>
      <c r="DC179" s="43"/>
      <c r="DD179" s="43"/>
      <c r="DE179" s="43"/>
      <c r="DF179" s="43"/>
    </row>
    <row r="180" spans="1:110" ht="14">
      <c r="A180" s="27" t="s">
        <v>892</v>
      </c>
      <c r="B180" s="33" t="s">
        <v>1693</v>
      </c>
      <c r="C180" s="27" t="s">
        <v>893</v>
      </c>
      <c r="D180" s="27"/>
      <c r="E180" s="27" t="s">
        <v>93</v>
      </c>
      <c r="F180" s="39"/>
      <c r="G180" s="39">
        <v>10895460</v>
      </c>
      <c r="H180" s="40" t="s">
        <v>123</v>
      </c>
      <c r="I180" s="39" t="s">
        <v>1620</v>
      </c>
      <c r="J180" s="27"/>
      <c r="K180" s="39" t="s">
        <v>1620</v>
      </c>
      <c r="L180" s="39">
        <v>383353.54411031678</v>
      </c>
      <c r="M180" s="39">
        <v>10895460</v>
      </c>
      <c r="N180" s="41">
        <v>9.639645159488619E-2</v>
      </c>
      <c r="O180" s="39">
        <v>467451.59967454581</v>
      </c>
      <c r="P180" s="39">
        <v>13326313</v>
      </c>
      <c r="Q180" s="41">
        <v>9.6102298826152274E-2</v>
      </c>
      <c r="R180" s="39">
        <v>560389.18493130116</v>
      </c>
      <c r="S180" s="39">
        <v>15975818</v>
      </c>
      <c r="T180" s="41">
        <v>9.6102298826152274E-2</v>
      </c>
      <c r="U180" s="39">
        <v>639933.78612513246</v>
      </c>
      <c r="V180" s="39">
        <v>18243510</v>
      </c>
      <c r="W180" s="41">
        <v>9.6102298826152274E-2</v>
      </c>
      <c r="X180" s="42"/>
      <c r="Y180" s="42"/>
      <c r="Z180" s="42"/>
      <c r="AA180" s="42"/>
      <c r="AB180" s="42"/>
      <c r="AC180" s="42"/>
      <c r="AD180" s="42"/>
      <c r="AE180" s="42"/>
      <c r="AF180" s="42"/>
      <c r="AG180" s="42"/>
      <c r="AH180" s="42"/>
      <c r="AI180" s="42"/>
      <c r="AJ180" s="42"/>
      <c r="AK180" s="39"/>
      <c r="AL180" s="39"/>
      <c r="AM180" s="39"/>
      <c r="AN180" s="39">
        <v>15000</v>
      </c>
      <c r="AO180" s="39"/>
      <c r="AP180" s="39"/>
      <c r="AQ180" s="39"/>
      <c r="AR180" s="39"/>
      <c r="AS180" s="42"/>
      <c r="AT180" s="42"/>
      <c r="AU180" s="42"/>
      <c r="AV180" s="42"/>
      <c r="AW180" s="42"/>
      <c r="AX180" s="42"/>
      <c r="AY180" s="42"/>
      <c r="AZ180" s="42"/>
      <c r="BA180" s="42"/>
      <c r="BB180" s="42"/>
      <c r="BC180" s="42"/>
      <c r="BD180" s="42"/>
      <c r="BE180" s="42"/>
      <c r="BF180" s="42"/>
      <c r="BG180" s="42"/>
      <c r="BH180" s="42"/>
      <c r="BI180" s="42"/>
      <c r="BJ180" s="42"/>
      <c r="BK180" s="42"/>
      <c r="BL180" s="42"/>
      <c r="BM180" s="42"/>
      <c r="BN180" s="42"/>
      <c r="BO180" s="42"/>
      <c r="BP180" s="42"/>
      <c r="BQ180" s="42"/>
      <c r="BR180" s="42"/>
      <c r="BS180" s="42"/>
      <c r="BT180" s="42"/>
      <c r="BU180" s="42"/>
      <c r="BV180" s="42"/>
      <c r="BW180" s="39"/>
      <c r="BX180" s="39"/>
      <c r="BY180" s="39"/>
      <c r="BZ180" s="39"/>
      <c r="CA180" s="39"/>
      <c r="CB180" s="27" t="s">
        <v>95</v>
      </c>
      <c r="CC180" s="27" t="s">
        <v>96</v>
      </c>
      <c r="CD180" s="27" t="s">
        <v>96</v>
      </c>
      <c r="CE180" s="27" t="s">
        <v>894</v>
      </c>
      <c r="CF180" s="27" t="s">
        <v>96</v>
      </c>
      <c r="CG180" s="27" t="s">
        <v>95</v>
      </c>
      <c r="CH180" s="27" t="s">
        <v>95</v>
      </c>
      <c r="CI180" s="27" t="s">
        <v>95</v>
      </c>
      <c r="CJ180" s="27" t="s">
        <v>123</v>
      </c>
      <c r="CK180" s="27" t="s">
        <v>95</v>
      </c>
      <c r="CL180" s="27" t="s">
        <v>96</v>
      </c>
      <c r="CM180" s="43" t="s">
        <v>895</v>
      </c>
      <c r="CN180" s="27" t="s">
        <v>95</v>
      </c>
      <c r="CO180" s="27"/>
      <c r="CP180" s="27" t="s">
        <v>95</v>
      </c>
      <c r="CQ180" s="27"/>
      <c r="CR180" s="43"/>
      <c r="CS180" s="43"/>
      <c r="CT180" s="43"/>
      <c r="CU180" s="43"/>
      <c r="CV180" s="43"/>
      <c r="CW180" s="43"/>
      <c r="CX180" s="43"/>
      <c r="CY180" s="43"/>
      <c r="CZ180" s="43"/>
      <c r="DA180" s="43"/>
      <c r="DB180" s="43"/>
      <c r="DC180" s="43"/>
      <c r="DD180" s="43"/>
      <c r="DE180" s="43"/>
      <c r="DF180" s="43"/>
    </row>
    <row r="181" spans="1:110" ht="14">
      <c r="A181" s="27" t="s">
        <v>896</v>
      </c>
      <c r="B181" s="27" t="s">
        <v>1713</v>
      </c>
      <c r="C181" s="27" t="s">
        <v>897</v>
      </c>
      <c r="D181" s="27" t="s">
        <v>122</v>
      </c>
      <c r="E181" s="27" t="s">
        <v>122</v>
      </c>
      <c r="F181" s="39">
        <v>1461244901853</v>
      </c>
      <c r="G181" s="39">
        <v>47721906</v>
      </c>
      <c r="H181" s="40">
        <v>2021</v>
      </c>
      <c r="I181" s="39">
        <v>28088509.800000001</v>
      </c>
      <c r="J181" s="27" t="s">
        <v>94</v>
      </c>
      <c r="K181" s="41">
        <v>1.6125680598311185</v>
      </c>
      <c r="L181" s="39">
        <v>28570221.091529656</v>
      </c>
      <c r="M181" s="39">
        <v>47749421</v>
      </c>
      <c r="N181" s="41">
        <v>1.6392780623027441</v>
      </c>
      <c r="O181" s="39">
        <v>29818195.322671305</v>
      </c>
      <c r="P181" s="39">
        <v>47652032</v>
      </c>
      <c r="Q181" s="41">
        <v>1.7143798991727746</v>
      </c>
      <c r="R181" s="39">
        <v>30593327.284357332</v>
      </c>
      <c r="S181" s="39">
        <v>46654767</v>
      </c>
      <c r="T181" s="41">
        <v>1.79654385640028</v>
      </c>
      <c r="U181" s="39">
        <v>30697701.442740194</v>
      </c>
      <c r="V181" s="39">
        <v>45034599</v>
      </c>
      <c r="W181" s="41">
        <v>1.8675261574760718</v>
      </c>
      <c r="X181" s="42">
        <v>7.0000000000000007E-2</v>
      </c>
      <c r="Y181" s="42">
        <v>0.08</v>
      </c>
      <c r="Z181" s="42">
        <v>0.03</v>
      </c>
      <c r="AA181" s="42">
        <v>0.15</v>
      </c>
      <c r="AB181" s="42">
        <v>0.09</v>
      </c>
      <c r="AC181" s="42"/>
      <c r="AD181" s="42">
        <v>0.02</v>
      </c>
      <c r="AE181" s="42">
        <v>0.42</v>
      </c>
      <c r="AF181" s="42">
        <v>0.05</v>
      </c>
      <c r="AG181" s="42"/>
      <c r="AH181" s="42"/>
      <c r="AI181" s="42"/>
      <c r="AJ181" s="42">
        <v>0.09</v>
      </c>
      <c r="AK181" s="39">
        <v>3811037</v>
      </c>
      <c r="AL181" s="39">
        <v>6330651</v>
      </c>
      <c r="AM181" s="39">
        <v>32542573</v>
      </c>
      <c r="AN181" s="39">
        <v>935000</v>
      </c>
      <c r="AO181" s="39">
        <v>3237858</v>
      </c>
      <c r="AP181" s="39">
        <v>13150017</v>
      </c>
      <c r="AQ181" s="39">
        <v>2457752</v>
      </c>
      <c r="AR181" s="39">
        <v>116411</v>
      </c>
      <c r="AS181" s="42"/>
      <c r="AT181" s="42"/>
      <c r="AU181" s="42"/>
      <c r="AV181" s="42"/>
      <c r="AW181" s="42"/>
      <c r="AX181" s="42"/>
      <c r="AY181" s="42"/>
      <c r="AZ181" s="42"/>
      <c r="BA181" s="42"/>
      <c r="BB181" s="42"/>
      <c r="BC181" s="42"/>
      <c r="BD181" s="42"/>
      <c r="BE181" s="42"/>
      <c r="BF181" s="42"/>
      <c r="BG181" s="42">
        <v>0.49436795596142702</v>
      </c>
      <c r="BH181" s="42"/>
      <c r="BI181" s="42">
        <v>2.6252885722323E-2</v>
      </c>
      <c r="BJ181" s="42">
        <v>0.17350126478052799</v>
      </c>
      <c r="BK181" s="42">
        <v>0.100633808398645</v>
      </c>
      <c r="BL181" s="42">
        <v>0.20524408513707701</v>
      </c>
      <c r="BM181" s="42"/>
      <c r="BN181" s="42"/>
      <c r="BO181" s="42"/>
      <c r="BP181" s="42"/>
      <c r="BQ181" s="42"/>
      <c r="BR181" s="42"/>
      <c r="BS181" s="42"/>
      <c r="BT181" s="42"/>
      <c r="BU181" s="42"/>
      <c r="BV181" s="42"/>
      <c r="BW181" s="39">
        <v>125453</v>
      </c>
      <c r="BX181" s="39"/>
      <c r="BY181" s="39"/>
      <c r="BZ181" s="39"/>
      <c r="CA181" s="39"/>
      <c r="CB181" s="27" t="s">
        <v>96</v>
      </c>
      <c r="CC181" s="27" t="s">
        <v>96</v>
      </c>
      <c r="CD181" s="27" t="s">
        <v>96</v>
      </c>
      <c r="CE181" s="27" t="s">
        <v>898</v>
      </c>
      <c r="CF181" s="27" t="s">
        <v>96</v>
      </c>
      <c r="CG181" s="27" t="s">
        <v>96</v>
      </c>
      <c r="CH181" s="27" t="s">
        <v>96</v>
      </c>
      <c r="CI181" s="27" t="s">
        <v>899</v>
      </c>
      <c r="CJ181" s="27" t="s">
        <v>1608</v>
      </c>
      <c r="CK181" s="27"/>
      <c r="CL181" s="27" t="s">
        <v>96</v>
      </c>
      <c r="CM181" s="43" t="s">
        <v>900</v>
      </c>
      <c r="CN181" s="27" t="s">
        <v>96</v>
      </c>
      <c r="CO181" s="27"/>
      <c r="CP181" s="27" t="s">
        <v>96</v>
      </c>
      <c r="CQ181" s="27"/>
      <c r="CR181" s="43" t="s">
        <v>96</v>
      </c>
      <c r="CS181" s="43" t="s">
        <v>96</v>
      </c>
      <c r="CT181" s="43"/>
      <c r="CU181" s="43" t="s">
        <v>96</v>
      </c>
      <c r="CV181" s="43" t="s">
        <v>96</v>
      </c>
      <c r="CW181" s="43" t="s">
        <v>96</v>
      </c>
      <c r="CX181" s="43" t="s">
        <v>96</v>
      </c>
      <c r="CY181" s="43" t="s">
        <v>1723</v>
      </c>
      <c r="CZ181" s="43" t="s">
        <v>109</v>
      </c>
      <c r="DA181" s="43" t="s">
        <v>1470</v>
      </c>
      <c r="DB181" s="43" t="s">
        <v>96</v>
      </c>
      <c r="DC181" s="43" t="s">
        <v>168</v>
      </c>
      <c r="DD181" s="43" t="s">
        <v>1069</v>
      </c>
      <c r="DE181" s="43" t="s">
        <v>106</v>
      </c>
      <c r="DF181" s="43" t="s">
        <v>197</v>
      </c>
    </row>
    <row r="182" spans="1:110" ht="14">
      <c r="A182" s="27" t="s">
        <v>901</v>
      </c>
      <c r="B182" s="27" t="s">
        <v>1717</v>
      </c>
      <c r="C182" s="27" t="s">
        <v>902</v>
      </c>
      <c r="D182" s="27" t="s">
        <v>1651</v>
      </c>
      <c r="E182" s="27" t="s">
        <v>1651</v>
      </c>
      <c r="F182" s="39">
        <v>88556698938</v>
      </c>
      <c r="G182" s="39">
        <v>22635611</v>
      </c>
      <c r="H182" s="40">
        <v>2021</v>
      </c>
      <c r="I182" s="39">
        <v>2971830</v>
      </c>
      <c r="J182" s="27" t="s">
        <v>94</v>
      </c>
      <c r="K182" s="41">
        <v>0.35969870660880326</v>
      </c>
      <c r="L182" s="39">
        <v>2847753.7042361693</v>
      </c>
      <c r="M182" s="39">
        <v>22765133</v>
      </c>
      <c r="N182" s="41">
        <v>0.34271993680479679</v>
      </c>
      <c r="O182" s="39">
        <v>3155836.8317831983</v>
      </c>
      <c r="P182" s="39">
        <v>23719665</v>
      </c>
      <c r="Q182" s="41">
        <v>0.36451308676810307</v>
      </c>
      <c r="R182" s="39">
        <v>3797570.6909807231</v>
      </c>
      <c r="S182" s="39">
        <v>24499783</v>
      </c>
      <c r="T182" s="41">
        <v>0.42466920066030317</v>
      </c>
      <c r="U182" s="39">
        <v>4362359.8557379618</v>
      </c>
      <c r="V182" s="39">
        <v>24812185</v>
      </c>
      <c r="W182" s="41">
        <v>0.48168554432583233</v>
      </c>
      <c r="X182" s="42">
        <v>0.62</v>
      </c>
      <c r="Y182" s="42">
        <v>0.02</v>
      </c>
      <c r="Z182" s="42"/>
      <c r="AA182" s="42">
        <v>7.0000000000000007E-2</v>
      </c>
      <c r="AB182" s="42">
        <v>0.06</v>
      </c>
      <c r="AC182" s="42"/>
      <c r="AD182" s="42">
        <v>0.06</v>
      </c>
      <c r="AE182" s="42"/>
      <c r="AF182" s="42"/>
      <c r="AG182" s="42"/>
      <c r="AH182" s="42"/>
      <c r="AI182" s="42"/>
      <c r="AJ182" s="42">
        <v>0.17</v>
      </c>
      <c r="AK182" s="39"/>
      <c r="AL182" s="39"/>
      <c r="AM182" s="39"/>
      <c r="AN182" s="39">
        <v>175000</v>
      </c>
      <c r="AO182" s="39"/>
      <c r="AP182" s="39"/>
      <c r="AQ182" s="39"/>
      <c r="AR182" s="39"/>
      <c r="AS182" s="42"/>
      <c r="AT182" s="42"/>
      <c r="AU182" s="42"/>
      <c r="AV182" s="42"/>
      <c r="AW182" s="42"/>
      <c r="AX182" s="42"/>
      <c r="AY182" s="42"/>
      <c r="AZ182" s="42">
        <v>0.47349999999999998</v>
      </c>
      <c r="BA182" s="42"/>
      <c r="BB182" s="42"/>
      <c r="BC182" s="42"/>
      <c r="BD182" s="42">
        <v>0.24809999999999999</v>
      </c>
      <c r="BE182" s="42"/>
      <c r="BF182" s="42">
        <v>5.9999999999999995E-4</v>
      </c>
      <c r="BG182" s="42"/>
      <c r="BH182" s="42"/>
      <c r="BI182" s="42">
        <v>0.13880000000000001</v>
      </c>
      <c r="BJ182" s="42"/>
      <c r="BK182" s="42">
        <v>8.5999999999999993E-2</v>
      </c>
      <c r="BL182" s="42"/>
      <c r="BM182" s="42"/>
      <c r="BN182" s="42"/>
      <c r="BO182" s="42">
        <v>0.52649999999999997</v>
      </c>
      <c r="BP182" s="42"/>
      <c r="BQ182" s="42">
        <v>0.29353000000000001</v>
      </c>
      <c r="BR182" s="42">
        <v>0.59401999999999999</v>
      </c>
      <c r="BS182" s="42"/>
      <c r="BT182" s="42">
        <v>1.11E-2</v>
      </c>
      <c r="BU182" s="42">
        <v>9.7129999999999994E-2</v>
      </c>
      <c r="BV182" s="42">
        <v>4.2500000000000003E-3</v>
      </c>
      <c r="BW182" s="39"/>
      <c r="BX182" s="39"/>
      <c r="BY182" s="39"/>
      <c r="BZ182" s="39"/>
      <c r="CA182" s="39"/>
      <c r="CB182" s="27" t="s">
        <v>96</v>
      </c>
      <c r="CC182" s="27" t="s">
        <v>96</v>
      </c>
      <c r="CD182" s="27" t="s">
        <v>96</v>
      </c>
      <c r="CE182" s="27" t="s">
        <v>903</v>
      </c>
      <c r="CF182" s="27" t="s">
        <v>96</v>
      </c>
      <c r="CG182" s="27" t="s">
        <v>96</v>
      </c>
      <c r="CH182" s="27" t="s">
        <v>96</v>
      </c>
      <c r="CI182" s="27" t="s">
        <v>904</v>
      </c>
      <c r="CJ182" s="27" t="s">
        <v>123</v>
      </c>
      <c r="CK182" s="27"/>
      <c r="CL182" s="27" t="s">
        <v>96</v>
      </c>
      <c r="CM182" s="27" t="s">
        <v>905</v>
      </c>
      <c r="CN182" s="27" t="s">
        <v>95</v>
      </c>
      <c r="CO182" s="27" t="s">
        <v>905</v>
      </c>
      <c r="CP182" s="27" t="s">
        <v>96</v>
      </c>
      <c r="CQ182" s="43" t="s">
        <v>904</v>
      </c>
      <c r="CR182" s="43" t="s">
        <v>96</v>
      </c>
      <c r="CS182" s="43" t="s">
        <v>96</v>
      </c>
      <c r="CT182" s="43"/>
      <c r="CU182" s="43"/>
      <c r="CV182" s="43"/>
      <c r="CW182" s="43"/>
      <c r="CX182" s="43"/>
      <c r="CY182" s="43" t="s">
        <v>106</v>
      </c>
      <c r="CZ182" s="43" t="s">
        <v>148</v>
      </c>
      <c r="DA182" s="43" t="s">
        <v>1471</v>
      </c>
      <c r="DB182" s="43"/>
      <c r="DC182" s="43"/>
      <c r="DD182" s="43"/>
      <c r="DE182" s="43"/>
      <c r="DF182" s="43"/>
    </row>
    <row r="183" spans="1:110" ht="14">
      <c r="A183" s="27" t="s">
        <v>906</v>
      </c>
      <c r="B183" s="27" t="s">
        <v>1714</v>
      </c>
      <c r="C183" s="27" t="s">
        <v>907</v>
      </c>
      <c r="D183" s="27" t="s">
        <v>122</v>
      </c>
      <c r="E183" s="27" t="s">
        <v>122</v>
      </c>
      <c r="F183" s="39">
        <v>980188889</v>
      </c>
      <c r="G183" s="39">
        <v>46706</v>
      </c>
      <c r="H183" s="40">
        <v>2022</v>
      </c>
      <c r="I183" s="39">
        <v>33000</v>
      </c>
      <c r="J183" s="27" t="s">
        <v>94</v>
      </c>
      <c r="K183" s="41">
        <v>1.9357461333470984</v>
      </c>
      <c r="L183" s="39">
        <v>33000</v>
      </c>
      <c r="M183" s="39">
        <v>46706</v>
      </c>
      <c r="N183" s="41">
        <v>1.9357461333470984</v>
      </c>
      <c r="O183" s="39">
        <v>35904.192539554315</v>
      </c>
      <c r="P183" s="39">
        <v>47129</v>
      </c>
      <c r="Q183" s="41">
        <v>2.0872000422945423</v>
      </c>
      <c r="R183" s="39">
        <v>37247.930112064969</v>
      </c>
      <c r="S183" s="39">
        <v>46389</v>
      </c>
      <c r="T183" s="41">
        <v>2.1998560778352312</v>
      </c>
      <c r="U183" s="39">
        <v>37176.1919352404</v>
      </c>
      <c r="V183" s="39">
        <v>44373</v>
      </c>
      <c r="W183" s="41">
        <v>2.2953728763999335</v>
      </c>
      <c r="X183" s="42">
        <v>0.27200000000000002</v>
      </c>
      <c r="Y183" s="42">
        <v>8.1000000000000003E-2</v>
      </c>
      <c r="Z183" s="42">
        <v>8.7999999999999995E-2</v>
      </c>
      <c r="AA183" s="42">
        <v>0.20499999999999999</v>
      </c>
      <c r="AB183" s="42">
        <v>0.23200000000000001</v>
      </c>
      <c r="AC183" s="42"/>
      <c r="AD183" s="42"/>
      <c r="AE183" s="42"/>
      <c r="AF183" s="42">
        <v>7.3999999999999996E-2</v>
      </c>
      <c r="AG183" s="42"/>
      <c r="AH183" s="42"/>
      <c r="AI183" s="42"/>
      <c r="AJ183" s="42">
        <v>4.8000000000000001E-2</v>
      </c>
      <c r="AK183" s="39"/>
      <c r="AL183" s="39"/>
      <c r="AM183" s="39"/>
      <c r="AN183" s="39">
        <v>700</v>
      </c>
      <c r="AO183" s="39"/>
      <c r="AP183" s="39"/>
      <c r="AQ183" s="39"/>
      <c r="AR183" s="39"/>
      <c r="AS183" s="42"/>
      <c r="AT183" s="42"/>
      <c r="AU183" s="42"/>
      <c r="AV183" s="42"/>
      <c r="AW183" s="42"/>
      <c r="AX183" s="42"/>
      <c r="AY183" s="42">
        <v>0.95</v>
      </c>
      <c r="AZ183" s="42"/>
      <c r="BA183" s="42"/>
      <c r="BB183" s="42"/>
      <c r="BC183" s="42"/>
      <c r="BD183" s="42"/>
      <c r="BE183" s="42"/>
      <c r="BF183" s="42"/>
      <c r="BG183" s="42"/>
      <c r="BH183" s="42"/>
      <c r="BI183" s="42"/>
      <c r="BJ183" s="42"/>
      <c r="BK183" s="42"/>
      <c r="BL183" s="42"/>
      <c r="BM183" s="42"/>
      <c r="BN183" s="42"/>
      <c r="BO183" s="42"/>
      <c r="BP183" s="42"/>
      <c r="BQ183" s="42"/>
      <c r="BR183" s="42"/>
      <c r="BS183" s="42"/>
      <c r="BT183" s="42"/>
      <c r="BU183" s="42"/>
      <c r="BV183" s="42"/>
      <c r="BW183" s="39"/>
      <c r="BX183" s="39"/>
      <c r="BY183" s="39"/>
      <c r="BZ183" s="39"/>
      <c r="CA183" s="39"/>
      <c r="CB183" s="27" t="s">
        <v>95</v>
      </c>
      <c r="CC183" s="27" t="s">
        <v>96</v>
      </c>
      <c r="CD183" s="27" t="s">
        <v>95</v>
      </c>
      <c r="CE183" s="27" t="s">
        <v>908</v>
      </c>
      <c r="CF183" s="27" t="s">
        <v>96</v>
      </c>
      <c r="CG183" s="27"/>
      <c r="CH183" s="27" t="s">
        <v>95</v>
      </c>
      <c r="CI183" s="27"/>
      <c r="CJ183" s="27" t="s">
        <v>123</v>
      </c>
      <c r="CK183" s="27"/>
      <c r="CL183" s="27" t="s">
        <v>96</v>
      </c>
      <c r="CM183" s="27" t="s">
        <v>909</v>
      </c>
      <c r="CN183" s="27"/>
      <c r="CO183" s="27"/>
      <c r="CP183" s="27"/>
      <c r="CQ183" s="27"/>
      <c r="CR183" s="43"/>
      <c r="CS183" s="43"/>
      <c r="CT183" s="43"/>
      <c r="CU183" s="43"/>
      <c r="CV183" s="43"/>
      <c r="CW183" s="43"/>
      <c r="CX183" s="43"/>
      <c r="CY183" s="43"/>
      <c r="CZ183" s="43"/>
      <c r="DA183" s="43"/>
      <c r="DB183" s="43"/>
      <c r="DC183" s="43"/>
      <c r="DD183" s="43"/>
      <c r="DE183" s="43"/>
      <c r="DF183" s="43"/>
    </row>
    <row r="184" spans="1:110" ht="14">
      <c r="A184" s="27" t="s">
        <v>910</v>
      </c>
      <c r="B184" s="27" t="s">
        <v>1714</v>
      </c>
      <c r="C184" s="27" t="s">
        <v>911</v>
      </c>
      <c r="D184" s="27" t="s">
        <v>1650</v>
      </c>
      <c r="E184" s="27" t="s">
        <v>1650</v>
      </c>
      <c r="F184" s="39">
        <v>2342714815</v>
      </c>
      <c r="G184" s="39">
        <v>178516</v>
      </c>
      <c r="H184" s="40">
        <v>2022</v>
      </c>
      <c r="I184" s="39">
        <v>81705.25</v>
      </c>
      <c r="J184" s="27" t="s">
        <v>94</v>
      </c>
      <c r="K184" s="41">
        <v>1.2539492258397007</v>
      </c>
      <c r="L184" s="39">
        <v>81705.25</v>
      </c>
      <c r="M184" s="39">
        <v>178516</v>
      </c>
      <c r="N184" s="41">
        <v>1.2539492258397007</v>
      </c>
      <c r="O184" s="39">
        <v>91776.024702155439</v>
      </c>
      <c r="P184" s="39">
        <v>181291</v>
      </c>
      <c r="Q184" s="41">
        <v>1.386947854926881</v>
      </c>
      <c r="R184" s="39">
        <v>97945.256022836897</v>
      </c>
      <c r="S184" s="39">
        <v>179543</v>
      </c>
      <c r="T184" s="41">
        <v>1.4945899711258837</v>
      </c>
      <c r="U184" s="39">
        <v>102898.3864390119</v>
      </c>
      <c r="V184" s="39">
        <v>172546</v>
      </c>
      <c r="W184" s="41">
        <v>1.6338448153196374</v>
      </c>
      <c r="X184" s="42">
        <v>0.53</v>
      </c>
      <c r="Y184" s="42">
        <v>0.04</v>
      </c>
      <c r="Z184" s="42">
        <v>0.03</v>
      </c>
      <c r="AA184" s="42">
        <v>0.12</v>
      </c>
      <c r="AB184" s="42">
        <v>0.2</v>
      </c>
      <c r="AC184" s="42"/>
      <c r="AD184" s="42"/>
      <c r="AE184" s="42"/>
      <c r="AF184" s="42">
        <v>0.05</v>
      </c>
      <c r="AG184" s="42"/>
      <c r="AH184" s="42"/>
      <c r="AI184" s="42"/>
      <c r="AJ184" s="42">
        <v>0.01</v>
      </c>
      <c r="AK184" s="39"/>
      <c r="AL184" s="39"/>
      <c r="AM184" s="39"/>
      <c r="AN184" s="39">
        <v>2000</v>
      </c>
      <c r="AO184" s="39">
        <v>4730</v>
      </c>
      <c r="AP184" s="39"/>
      <c r="AQ184" s="39"/>
      <c r="AR184" s="39">
        <v>49.63</v>
      </c>
      <c r="AS184" s="42"/>
      <c r="AT184" s="42"/>
      <c r="AU184" s="42"/>
      <c r="AV184" s="42"/>
      <c r="AW184" s="42"/>
      <c r="AX184" s="42">
        <v>0.96799999999999997</v>
      </c>
      <c r="AY184" s="42"/>
      <c r="AZ184" s="42"/>
      <c r="BA184" s="42"/>
      <c r="BB184" s="42"/>
      <c r="BC184" s="42"/>
      <c r="BD184" s="42"/>
      <c r="BE184" s="42"/>
      <c r="BF184" s="42"/>
      <c r="BG184" s="42"/>
      <c r="BH184" s="42"/>
      <c r="BI184" s="42"/>
      <c r="BJ184" s="42"/>
      <c r="BK184" s="42"/>
      <c r="BL184" s="42"/>
      <c r="BM184" s="42"/>
      <c r="BN184" s="42"/>
      <c r="BO184" s="42"/>
      <c r="BP184" s="42"/>
      <c r="BQ184" s="42">
        <v>0.1875</v>
      </c>
      <c r="BR184" s="42">
        <v>0.46875</v>
      </c>
      <c r="BS184" s="42">
        <v>3.125E-2</v>
      </c>
      <c r="BT184" s="42">
        <v>0.125</v>
      </c>
      <c r="BU184" s="42">
        <v>3.125E-2</v>
      </c>
      <c r="BV184" s="42">
        <v>0.15625</v>
      </c>
      <c r="BW184" s="39"/>
      <c r="BX184" s="39"/>
      <c r="BY184" s="39"/>
      <c r="BZ184" s="39"/>
      <c r="CA184" s="39"/>
      <c r="CB184" s="27" t="s">
        <v>96</v>
      </c>
      <c r="CC184" s="27" t="s">
        <v>96</v>
      </c>
      <c r="CD184" s="27" t="s">
        <v>95</v>
      </c>
      <c r="CE184" s="27" t="s">
        <v>912</v>
      </c>
      <c r="CF184" s="27" t="s">
        <v>96</v>
      </c>
      <c r="CG184" s="27" t="s">
        <v>96</v>
      </c>
      <c r="CH184" s="27"/>
      <c r="CI184" s="27" t="s">
        <v>913</v>
      </c>
      <c r="CJ184" s="27" t="s">
        <v>123</v>
      </c>
      <c r="CK184" s="27"/>
      <c r="CL184" s="27" t="s">
        <v>96</v>
      </c>
      <c r="CM184" s="27" t="s">
        <v>914</v>
      </c>
      <c r="CN184" s="27" t="s">
        <v>95</v>
      </c>
      <c r="CO184" s="27"/>
      <c r="CP184" s="27" t="s">
        <v>95</v>
      </c>
      <c r="CQ184" s="27"/>
      <c r="CR184" s="43"/>
      <c r="CS184" s="43"/>
      <c r="CT184" s="43"/>
      <c r="CU184" s="43"/>
      <c r="CV184" s="43"/>
      <c r="CW184" s="43"/>
      <c r="CX184" s="43"/>
      <c r="CY184" s="43"/>
      <c r="CZ184" s="43"/>
      <c r="DA184" s="43"/>
      <c r="DB184" s="43"/>
      <c r="DC184" s="43"/>
      <c r="DD184" s="43"/>
      <c r="DE184" s="43"/>
      <c r="DF184" s="43"/>
    </row>
    <row r="185" spans="1:110" ht="14">
      <c r="A185" s="27" t="s">
        <v>915</v>
      </c>
      <c r="B185" s="27" t="s">
        <v>1714</v>
      </c>
      <c r="C185" s="27" t="s">
        <v>1653</v>
      </c>
      <c r="D185" s="27" t="s">
        <v>122</v>
      </c>
      <c r="E185" s="27" t="s">
        <v>122</v>
      </c>
      <c r="F185" s="39">
        <v>652205849</v>
      </c>
      <c r="G185" s="39">
        <v>33134</v>
      </c>
      <c r="H185" s="40">
        <v>2020</v>
      </c>
      <c r="I185" s="39">
        <v>14446</v>
      </c>
      <c r="J185" s="27" t="s">
        <v>94</v>
      </c>
      <c r="K185" s="41">
        <v>1.1944854889775101</v>
      </c>
      <c r="L185" s="39">
        <v>13318.936980974893</v>
      </c>
      <c r="M185" s="39">
        <v>29484</v>
      </c>
      <c r="N185" s="41">
        <v>1.2376284867738707</v>
      </c>
      <c r="O185" s="39">
        <v>9954.749325474897</v>
      </c>
      <c r="P185" s="39">
        <v>21312</v>
      </c>
      <c r="Q185" s="41">
        <v>1.279714987951337</v>
      </c>
      <c r="R185" s="39">
        <v>9223.1380388346224</v>
      </c>
      <c r="S185" s="39">
        <v>18955</v>
      </c>
      <c r="T185" s="41">
        <v>1.3330979340159821</v>
      </c>
      <c r="U185" s="39">
        <v>9492.4454789552055</v>
      </c>
      <c r="V185" s="39">
        <v>18798</v>
      </c>
      <c r="W185" s="41">
        <v>1.3834822822823187</v>
      </c>
      <c r="X185" s="42">
        <v>0.314</v>
      </c>
      <c r="Y185" s="42">
        <v>0.11600000000000001</v>
      </c>
      <c r="Z185" s="42">
        <v>3.5999999999999997E-2</v>
      </c>
      <c r="AA185" s="42">
        <v>0.123</v>
      </c>
      <c r="AB185" s="42">
        <v>0.185</v>
      </c>
      <c r="AC185" s="42"/>
      <c r="AD185" s="42"/>
      <c r="AE185" s="42"/>
      <c r="AF185" s="42">
        <v>3.9E-2</v>
      </c>
      <c r="AG185" s="42"/>
      <c r="AH185" s="42">
        <v>1E-3</v>
      </c>
      <c r="AI185" s="42">
        <v>0.08</v>
      </c>
      <c r="AJ185" s="42">
        <v>0.107</v>
      </c>
      <c r="AK185" s="39"/>
      <c r="AL185" s="39"/>
      <c r="AM185" s="39"/>
      <c r="AN185" s="39"/>
      <c r="AO185" s="39"/>
      <c r="AP185" s="39"/>
      <c r="AQ185" s="39"/>
      <c r="AR185" s="39"/>
      <c r="AS185" s="42"/>
      <c r="AT185" s="42"/>
      <c r="AU185" s="42"/>
      <c r="AV185" s="42"/>
      <c r="AW185" s="42"/>
      <c r="AX185" s="42"/>
      <c r="AY185" s="42"/>
      <c r="AZ185" s="42"/>
      <c r="BA185" s="42"/>
      <c r="BB185" s="42"/>
      <c r="BC185" s="42"/>
      <c r="BD185" s="42"/>
      <c r="BE185" s="42"/>
      <c r="BF185" s="42"/>
      <c r="BG185" s="42"/>
      <c r="BH185" s="42"/>
      <c r="BI185" s="42"/>
      <c r="BJ185" s="42"/>
      <c r="BK185" s="42"/>
      <c r="BL185" s="42"/>
      <c r="BM185" s="42"/>
      <c r="BN185" s="42"/>
      <c r="BO185" s="42"/>
      <c r="BP185" s="42"/>
      <c r="BQ185" s="42"/>
      <c r="BR185" s="42"/>
      <c r="BS185" s="42"/>
      <c r="BT185" s="42"/>
      <c r="BU185" s="42"/>
      <c r="BV185" s="42"/>
      <c r="BW185" s="39"/>
      <c r="BX185" s="39"/>
      <c r="BY185" s="39"/>
      <c r="BZ185" s="39"/>
      <c r="CA185" s="39"/>
      <c r="CB185" s="27" t="s">
        <v>95</v>
      </c>
      <c r="CC185" s="27" t="s">
        <v>96</v>
      </c>
      <c r="CD185" s="27" t="s">
        <v>95</v>
      </c>
      <c r="CE185" s="27" t="s">
        <v>917</v>
      </c>
      <c r="CF185" s="27" t="s">
        <v>96</v>
      </c>
      <c r="CG185" s="27"/>
      <c r="CH185" s="27" t="s">
        <v>95</v>
      </c>
      <c r="CI185" s="27"/>
      <c r="CJ185" s="27" t="s">
        <v>123</v>
      </c>
      <c r="CK185" s="27"/>
      <c r="CL185" s="27" t="s">
        <v>95</v>
      </c>
      <c r="CM185" s="27"/>
      <c r="CN185" s="27" t="s">
        <v>95</v>
      </c>
      <c r="CO185" s="27"/>
      <c r="CP185" s="27" t="s">
        <v>95</v>
      </c>
      <c r="CQ185" s="27"/>
      <c r="CR185" s="43"/>
      <c r="CS185" s="43"/>
      <c r="CT185" s="43"/>
      <c r="CU185" s="43"/>
      <c r="CV185" s="43"/>
      <c r="CW185" s="43"/>
      <c r="CX185" s="43"/>
      <c r="CY185" s="43"/>
      <c r="CZ185" s="43"/>
      <c r="DA185" s="43"/>
      <c r="DB185" s="43"/>
      <c r="DC185" s="43"/>
      <c r="DD185" s="43"/>
      <c r="DE185" s="43"/>
      <c r="DF185" s="43"/>
    </row>
    <row r="186" spans="1:110" ht="14">
      <c r="A186" s="27" t="s">
        <v>918</v>
      </c>
      <c r="B186" s="27" t="s">
        <v>1714</v>
      </c>
      <c r="C186" s="27" t="s">
        <v>919</v>
      </c>
      <c r="D186" s="27" t="s">
        <v>1650</v>
      </c>
      <c r="E186" s="27" t="s">
        <v>1650</v>
      </c>
      <c r="F186" s="39">
        <v>989188889</v>
      </c>
      <c r="G186" s="39">
        <v>102413</v>
      </c>
      <c r="H186" s="40">
        <v>2022</v>
      </c>
      <c r="I186" s="39">
        <v>31886.400000000001</v>
      </c>
      <c r="J186" s="27" t="s">
        <v>94</v>
      </c>
      <c r="K186" s="41">
        <v>0.8530167068633866</v>
      </c>
      <c r="L186" s="39">
        <v>31886.400000000005</v>
      </c>
      <c r="M186" s="39">
        <v>102413</v>
      </c>
      <c r="N186" s="41">
        <v>0.8530167068633866</v>
      </c>
      <c r="O186" s="39">
        <v>35428.207761825506</v>
      </c>
      <c r="P186" s="39">
        <v>97126</v>
      </c>
      <c r="Q186" s="41">
        <v>0.99935735960619154</v>
      </c>
      <c r="R186" s="39">
        <v>38363.504999801145</v>
      </c>
      <c r="S186" s="39">
        <v>92811</v>
      </c>
      <c r="T186" s="41">
        <v>1.1324680603607344</v>
      </c>
      <c r="U186" s="39">
        <v>40837.51073096459</v>
      </c>
      <c r="V186" s="39">
        <v>89161</v>
      </c>
      <c r="W186" s="41">
        <v>1.2548489927629636</v>
      </c>
      <c r="X186" s="42">
        <v>0.3075</v>
      </c>
      <c r="Y186" s="42">
        <v>4.4999999999999998E-2</v>
      </c>
      <c r="Z186" s="42">
        <v>5.1900000000000002E-2</v>
      </c>
      <c r="AA186" s="42">
        <v>0.18490000000000001</v>
      </c>
      <c r="AB186" s="42">
        <v>0.23799999999999999</v>
      </c>
      <c r="AC186" s="42"/>
      <c r="AD186" s="42"/>
      <c r="AE186" s="42"/>
      <c r="AF186" s="42">
        <v>8.8599999999999998E-2</v>
      </c>
      <c r="AG186" s="42"/>
      <c r="AH186" s="42"/>
      <c r="AI186" s="42"/>
      <c r="AJ186" s="42">
        <v>8.4099999999999994E-2</v>
      </c>
      <c r="AK186" s="39"/>
      <c r="AL186" s="39"/>
      <c r="AM186" s="39">
        <v>12580</v>
      </c>
      <c r="AN186" s="39">
        <v>1000</v>
      </c>
      <c r="AO186" s="39"/>
      <c r="AP186" s="39"/>
      <c r="AQ186" s="39"/>
      <c r="AR186" s="39"/>
      <c r="AS186" s="42"/>
      <c r="AT186" s="42"/>
      <c r="AU186" s="42"/>
      <c r="AV186" s="42"/>
      <c r="AW186" s="42"/>
      <c r="AX186" s="42"/>
      <c r="AY186" s="42"/>
      <c r="AZ186" s="42"/>
      <c r="BA186" s="42"/>
      <c r="BB186" s="42"/>
      <c r="BC186" s="42"/>
      <c r="BD186" s="42"/>
      <c r="BE186" s="42"/>
      <c r="BF186" s="42"/>
      <c r="BG186" s="42">
        <v>0.99973959246220301</v>
      </c>
      <c r="BH186" s="42"/>
      <c r="BI186" s="42">
        <v>2.6040753779665198E-4</v>
      </c>
      <c r="BJ186" s="42"/>
      <c r="BK186" s="42"/>
      <c r="BL186" s="42"/>
      <c r="BM186" s="42"/>
      <c r="BN186" s="42"/>
      <c r="BO186" s="42"/>
      <c r="BP186" s="42"/>
      <c r="BQ186" s="42"/>
      <c r="BR186" s="42"/>
      <c r="BS186" s="42"/>
      <c r="BT186" s="42"/>
      <c r="BU186" s="42"/>
      <c r="BV186" s="42"/>
      <c r="BW186" s="39"/>
      <c r="BX186" s="39"/>
      <c r="BY186" s="39"/>
      <c r="BZ186" s="39"/>
      <c r="CA186" s="39"/>
      <c r="CB186" s="27" t="s">
        <v>95</v>
      </c>
      <c r="CC186" s="27" t="s">
        <v>95</v>
      </c>
      <c r="CD186" s="27" t="s">
        <v>96</v>
      </c>
      <c r="CE186" s="27" t="s">
        <v>920</v>
      </c>
      <c r="CF186" s="27" t="s">
        <v>96</v>
      </c>
      <c r="CG186" s="27" t="s">
        <v>95</v>
      </c>
      <c r="CH186" s="27" t="s">
        <v>95</v>
      </c>
      <c r="CI186" s="27"/>
      <c r="CJ186" s="27" t="s">
        <v>123</v>
      </c>
      <c r="CK186" s="27"/>
      <c r="CL186" s="27" t="s">
        <v>96</v>
      </c>
      <c r="CM186" s="27" t="s">
        <v>921</v>
      </c>
      <c r="CN186" s="27" t="s">
        <v>95</v>
      </c>
      <c r="CO186" s="27"/>
      <c r="CP186" s="27" t="s">
        <v>95</v>
      </c>
      <c r="CQ186" s="27"/>
      <c r="CR186" s="43"/>
      <c r="CS186" s="43"/>
      <c r="CT186" s="43"/>
      <c r="CU186" s="43"/>
      <c r="CV186" s="43"/>
      <c r="CW186" s="43"/>
      <c r="CX186" s="43"/>
      <c r="CY186" s="43"/>
      <c r="CZ186" s="43"/>
      <c r="DA186" s="43"/>
      <c r="DB186" s="43"/>
      <c r="DC186" s="43"/>
      <c r="DD186" s="43"/>
      <c r="DE186" s="43"/>
      <c r="DF186" s="43"/>
    </row>
    <row r="187" spans="1:110" ht="14">
      <c r="A187" s="27" t="s">
        <v>922</v>
      </c>
      <c r="B187" s="33" t="s">
        <v>1693</v>
      </c>
      <c r="C187" s="27" t="s">
        <v>923</v>
      </c>
      <c r="D187" s="27" t="s">
        <v>1651</v>
      </c>
      <c r="E187" s="27" t="s">
        <v>93</v>
      </c>
      <c r="F187" s="39">
        <v>32333780383.290001</v>
      </c>
      <c r="G187" s="39">
        <v>43539138</v>
      </c>
      <c r="H187" s="40">
        <v>2018</v>
      </c>
      <c r="I187" s="39">
        <v>7945892.6849999996</v>
      </c>
      <c r="J187" s="27" t="s">
        <v>94</v>
      </c>
      <c r="K187" s="41">
        <v>0.5</v>
      </c>
      <c r="L187" s="39">
        <v>7501319.7434787694</v>
      </c>
      <c r="M187" s="39">
        <v>48729683</v>
      </c>
      <c r="N187" s="41">
        <v>0.42174624737529542</v>
      </c>
      <c r="O187" s="39">
        <v>7705401.5996381417</v>
      </c>
      <c r="P187" s="39">
        <v>57921151</v>
      </c>
      <c r="Q187" s="41">
        <v>0.36447289029316943</v>
      </c>
      <c r="R187" s="39">
        <v>11158593.203296194</v>
      </c>
      <c r="S187" s="39">
        <v>71071442</v>
      </c>
      <c r="T187" s="41">
        <v>0.43015151188586759</v>
      </c>
      <c r="U187" s="39">
        <v>15616747.494959125</v>
      </c>
      <c r="V187" s="39">
        <v>84518643</v>
      </c>
      <c r="W187" s="41">
        <v>0.50622688742447608</v>
      </c>
      <c r="X187" s="42">
        <v>0.4</v>
      </c>
      <c r="Y187" s="42">
        <v>0.05</v>
      </c>
      <c r="Z187" s="42">
        <v>0.03</v>
      </c>
      <c r="AA187" s="42">
        <v>0.27</v>
      </c>
      <c r="AB187" s="42">
        <v>0.04</v>
      </c>
      <c r="AC187" s="42"/>
      <c r="AD187" s="42"/>
      <c r="AE187" s="42"/>
      <c r="AF187" s="42">
        <v>0.06</v>
      </c>
      <c r="AG187" s="42"/>
      <c r="AH187" s="42"/>
      <c r="AI187" s="42"/>
      <c r="AJ187" s="42">
        <v>0.15</v>
      </c>
      <c r="AK187" s="39"/>
      <c r="AL187" s="39">
        <v>466</v>
      </c>
      <c r="AM187" s="39"/>
      <c r="AN187" s="39">
        <v>103000</v>
      </c>
      <c r="AO187" s="39"/>
      <c r="AP187" s="39">
        <v>189</v>
      </c>
      <c r="AQ187" s="39"/>
      <c r="AR187" s="39">
        <v>384</v>
      </c>
      <c r="AS187" s="42"/>
      <c r="AT187" s="42"/>
      <c r="AU187" s="42"/>
      <c r="AV187" s="42"/>
      <c r="AW187" s="42">
        <v>0.13350000000000001</v>
      </c>
      <c r="AX187" s="42"/>
      <c r="AY187" s="42"/>
      <c r="AZ187" s="42">
        <v>0.33</v>
      </c>
      <c r="BA187" s="42"/>
      <c r="BB187" s="42"/>
      <c r="BC187" s="42">
        <v>0.51160000000000005</v>
      </c>
      <c r="BD187" s="42"/>
      <c r="BE187" s="42"/>
      <c r="BF187" s="42"/>
      <c r="BG187" s="42">
        <v>0.27060000000000001</v>
      </c>
      <c r="BH187" s="42"/>
      <c r="BI187" s="42"/>
      <c r="BJ187" s="42"/>
      <c r="BK187" s="42"/>
      <c r="BL187" s="42"/>
      <c r="BM187" s="42"/>
      <c r="BN187" s="42">
        <v>5.9400000000000001E-2</v>
      </c>
      <c r="BO187" s="42">
        <v>0.67</v>
      </c>
      <c r="BP187" s="42"/>
      <c r="BQ187" s="42"/>
      <c r="BR187" s="42"/>
      <c r="BS187" s="42"/>
      <c r="BT187" s="42"/>
      <c r="BU187" s="42"/>
      <c r="BV187" s="42"/>
      <c r="BW187" s="27"/>
      <c r="BX187" s="27"/>
      <c r="BY187" s="27"/>
      <c r="BZ187" s="27"/>
      <c r="CA187" s="27"/>
      <c r="CB187" s="27" t="s">
        <v>95</v>
      </c>
      <c r="CC187" s="27" t="s">
        <v>96</v>
      </c>
      <c r="CD187" s="27" t="s">
        <v>95</v>
      </c>
      <c r="CE187" s="27" t="s">
        <v>924</v>
      </c>
      <c r="CF187" s="54"/>
      <c r="CG187" s="27" t="s">
        <v>96</v>
      </c>
      <c r="CH187" s="27" t="s">
        <v>95</v>
      </c>
      <c r="CI187" s="27" t="s">
        <v>95</v>
      </c>
      <c r="CJ187" s="27" t="s">
        <v>123</v>
      </c>
      <c r="CK187" s="27" t="s">
        <v>95</v>
      </c>
      <c r="CL187" s="27"/>
      <c r="CM187" s="27"/>
      <c r="CN187" s="27" t="s">
        <v>95</v>
      </c>
      <c r="CO187" s="27"/>
      <c r="CP187" s="27"/>
      <c r="CQ187" s="27"/>
      <c r="CR187" s="43" t="s">
        <v>96</v>
      </c>
      <c r="CS187" s="43"/>
      <c r="CT187" s="43"/>
      <c r="CU187" s="43"/>
      <c r="CV187" s="43" t="s">
        <v>96</v>
      </c>
      <c r="CW187" s="43"/>
      <c r="CX187" s="43" t="s">
        <v>96</v>
      </c>
      <c r="CY187" s="43" t="s">
        <v>106</v>
      </c>
      <c r="CZ187" s="43" t="s">
        <v>106</v>
      </c>
      <c r="DA187" s="43" t="s">
        <v>1471</v>
      </c>
      <c r="DB187" s="43"/>
      <c r="DC187" s="43"/>
      <c r="DD187" s="43"/>
      <c r="DE187" s="43"/>
      <c r="DF187" s="43"/>
    </row>
    <row r="188" spans="1:110" ht="14">
      <c r="A188" s="27" t="s">
        <v>925</v>
      </c>
      <c r="B188" s="27" t="s">
        <v>1714</v>
      </c>
      <c r="C188" s="27" t="s">
        <v>926</v>
      </c>
      <c r="D188" s="27" t="s">
        <v>1650</v>
      </c>
      <c r="E188" s="27" t="s">
        <v>1650</v>
      </c>
      <c r="F188" s="39">
        <v>3791603200</v>
      </c>
      <c r="G188" s="39">
        <v>620300</v>
      </c>
      <c r="H188" s="40">
        <v>2022</v>
      </c>
      <c r="I188" s="39">
        <v>140000</v>
      </c>
      <c r="J188" s="27" t="s">
        <v>152</v>
      </c>
      <c r="K188" s="41">
        <v>0.61834861169694733</v>
      </c>
      <c r="L188" s="39">
        <v>140000</v>
      </c>
      <c r="M188" s="39">
        <v>620300</v>
      </c>
      <c r="N188" s="41">
        <v>0.61834861169694733</v>
      </c>
      <c r="O188" s="39">
        <v>159808.06584844689</v>
      </c>
      <c r="P188" s="39">
        <v>663224</v>
      </c>
      <c r="Q188" s="41">
        <v>0.66015451399980274</v>
      </c>
      <c r="R188" s="39">
        <v>190311.23512659676</v>
      </c>
      <c r="S188" s="39">
        <v>705355</v>
      </c>
      <c r="T188" s="41">
        <v>0.7392031589518141</v>
      </c>
      <c r="U188" s="39">
        <v>219938.24240901382</v>
      </c>
      <c r="V188" s="39">
        <v>732936</v>
      </c>
      <c r="W188" s="41">
        <v>0.82213252882650467</v>
      </c>
      <c r="X188" s="42">
        <v>0.56999999999999995</v>
      </c>
      <c r="Y188" s="42">
        <v>0.06</v>
      </c>
      <c r="Z188" s="42">
        <v>0.03</v>
      </c>
      <c r="AA188" s="42"/>
      <c r="AB188" s="42">
        <v>0.11</v>
      </c>
      <c r="AC188" s="42"/>
      <c r="AD188" s="42"/>
      <c r="AE188" s="42"/>
      <c r="AF188" s="42"/>
      <c r="AG188" s="42"/>
      <c r="AH188" s="42"/>
      <c r="AI188" s="42"/>
      <c r="AJ188" s="42">
        <v>0.23</v>
      </c>
      <c r="AK188" s="39"/>
      <c r="AL188" s="39"/>
      <c r="AM188" s="39"/>
      <c r="AN188" s="39">
        <v>5000</v>
      </c>
      <c r="AO188" s="39"/>
      <c r="AP188" s="39"/>
      <c r="AQ188" s="39"/>
      <c r="AR188" s="39"/>
      <c r="AS188" s="42"/>
      <c r="AT188" s="42"/>
      <c r="AU188" s="42"/>
      <c r="AV188" s="42"/>
      <c r="AW188" s="42"/>
      <c r="AX188" s="42"/>
      <c r="AY188" s="42"/>
      <c r="AZ188" s="42">
        <v>1</v>
      </c>
      <c r="BA188" s="42"/>
      <c r="BB188" s="42"/>
      <c r="BC188" s="42"/>
      <c r="BD188" s="42">
        <v>0.95</v>
      </c>
      <c r="BE188" s="42"/>
      <c r="BF188" s="42"/>
      <c r="BG188" s="42"/>
      <c r="BH188" s="42"/>
      <c r="BI188" s="42"/>
      <c r="BJ188" s="42">
        <v>0.05</v>
      </c>
      <c r="BK188" s="42"/>
      <c r="BL188" s="42"/>
      <c r="BM188" s="42"/>
      <c r="BN188" s="42"/>
      <c r="BO188" s="42"/>
      <c r="BP188" s="42"/>
      <c r="BQ188" s="42"/>
      <c r="BR188" s="42"/>
      <c r="BS188" s="42"/>
      <c r="BT188" s="42"/>
      <c r="BU188" s="42"/>
      <c r="BV188" s="42"/>
      <c r="BW188" s="39"/>
      <c r="BX188" s="39"/>
      <c r="BY188" s="39"/>
      <c r="BZ188" s="39"/>
      <c r="CA188" s="39"/>
      <c r="CB188" s="27" t="s">
        <v>95</v>
      </c>
      <c r="CC188" s="27" t="s">
        <v>95</v>
      </c>
      <c r="CD188" s="27" t="s">
        <v>96</v>
      </c>
      <c r="CE188" s="27" t="s">
        <v>927</v>
      </c>
      <c r="CF188" s="27"/>
      <c r="CG188" s="27" t="s">
        <v>95</v>
      </c>
      <c r="CH188" s="27" t="s">
        <v>96</v>
      </c>
      <c r="CI188" s="27"/>
      <c r="CJ188" s="27" t="s">
        <v>123</v>
      </c>
      <c r="CK188" s="27"/>
      <c r="CL188" s="27"/>
      <c r="CM188" s="27"/>
      <c r="CN188" s="27" t="s">
        <v>95</v>
      </c>
      <c r="CO188" s="27"/>
      <c r="CP188" s="27"/>
      <c r="CQ188" s="27"/>
      <c r="CR188" s="43" t="s">
        <v>96</v>
      </c>
      <c r="CS188" s="43"/>
      <c r="CT188" s="43"/>
      <c r="CU188" s="43"/>
      <c r="CV188" s="43"/>
      <c r="CW188" s="43"/>
      <c r="CX188" s="43" t="s">
        <v>96</v>
      </c>
      <c r="CY188" s="43" t="s">
        <v>106</v>
      </c>
      <c r="CZ188" s="43" t="s">
        <v>198</v>
      </c>
      <c r="DA188" s="43" t="s">
        <v>107</v>
      </c>
      <c r="DB188" s="43"/>
      <c r="DC188" s="43"/>
      <c r="DD188" s="43"/>
      <c r="DE188" s="43"/>
      <c r="DF188" s="43"/>
    </row>
    <row r="189" spans="1:110" ht="14">
      <c r="A189" s="27" t="s">
        <v>928</v>
      </c>
      <c r="B189" s="27" t="s">
        <v>1713</v>
      </c>
      <c r="C189" s="27" t="s">
        <v>929</v>
      </c>
      <c r="D189" s="27" t="s">
        <v>122</v>
      </c>
      <c r="E189" s="27" t="s">
        <v>122</v>
      </c>
      <c r="F189" s="39">
        <v>579895717344</v>
      </c>
      <c r="G189" s="39">
        <v>10452766</v>
      </c>
      <c r="H189" s="40">
        <v>2022</v>
      </c>
      <c r="I189" s="39">
        <v>4139000</v>
      </c>
      <c r="J189" s="27" t="s">
        <v>94</v>
      </c>
      <c r="K189" s="41">
        <v>1.0848540976998109</v>
      </c>
      <c r="L189" s="39">
        <v>4139000.0000000005</v>
      </c>
      <c r="M189" s="39">
        <v>10452766</v>
      </c>
      <c r="N189" s="41">
        <v>1.0848540976998109</v>
      </c>
      <c r="O189" s="39">
        <v>4436212.5511484127</v>
      </c>
      <c r="P189" s="39">
        <v>10827522</v>
      </c>
      <c r="Q189" s="41">
        <v>1.1225104866513047</v>
      </c>
      <c r="R189" s="39">
        <v>4674205.5693100002</v>
      </c>
      <c r="S189" s="39">
        <v>11066389</v>
      </c>
      <c r="T189" s="41">
        <v>1.1572015637299427</v>
      </c>
      <c r="U189" s="39">
        <v>4859498.3192904331</v>
      </c>
      <c r="V189" s="39">
        <v>11300115</v>
      </c>
      <c r="W189" s="41">
        <v>1.1781910206624659</v>
      </c>
      <c r="X189" s="42">
        <v>0.37889688249400499</v>
      </c>
      <c r="Y189" s="42">
        <v>5.99520383693046E-2</v>
      </c>
      <c r="Z189" s="42">
        <v>4.0767386091127102E-2</v>
      </c>
      <c r="AA189" s="42">
        <v>0.14148681055155901</v>
      </c>
      <c r="AB189" s="42">
        <v>7.6738609112709799E-2</v>
      </c>
      <c r="AC189" s="42"/>
      <c r="AD189" s="42">
        <v>3.35731414868106E-2</v>
      </c>
      <c r="AE189" s="42"/>
      <c r="AF189" s="42">
        <v>1.4388489208633099E-2</v>
      </c>
      <c r="AG189" s="42"/>
      <c r="AH189" s="42"/>
      <c r="AI189" s="42"/>
      <c r="AJ189" s="42">
        <v>0.25419664268585102</v>
      </c>
      <c r="AK189" s="39">
        <v>2800000</v>
      </c>
      <c r="AL189" s="39">
        <v>1045900</v>
      </c>
      <c r="AM189" s="39">
        <v>14163500</v>
      </c>
      <c r="AN189" s="39">
        <v>221000</v>
      </c>
      <c r="AO189" s="39">
        <v>6870060</v>
      </c>
      <c r="AP189" s="39">
        <v>4701654</v>
      </c>
      <c r="AQ189" s="39">
        <v>116130600</v>
      </c>
      <c r="AR189" s="39">
        <v>4830</v>
      </c>
      <c r="AS189" s="42"/>
      <c r="AT189" s="42"/>
      <c r="AU189" s="42"/>
      <c r="AV189" s="42"/>
      <c r="AW189" s="42"/>
      <c r="AX189" s="42"/>
      <c r="AY189" s="42"/>
      <c r="AZ189" s="42">
        <v>1</v>
      </c>
      <c r="BA189" s="42"/>
      <c r="BB189" s="42"/>
      <c r="BC189" s="42"/>
      <c r="BD189" s="42"/>
      <c r="BE189" s="42"/>
      <c r="BF189" s="42"/>
      <c r="BG189" s="42">
        <v>1.6E-2</v>
      </c>
      <c r="BH189" s="42"/>
      <c r="BI189" s="42">
        <v>0.155</v>
      </c>
      <c r="BJ189" s="42">
        <v>0.24099999999999999</v>
      </c>
      <c r="BK189" s="42">
        <v>0.55400000000000005</v>
      </c>
      <c r="BL189" s="42"/>
      <c r="BM189" s="42"/>
      <c r="BN189" s="42">
        <v>3.4000000000000002E-2</v>
      </c>
      <c r="BO189" s="42">
        <v>0</v>
      </c>
      <c r="BP189" s="42"/>
      <c r="BQ189" s="42"/>
      <c r="BR189" s="42"/>
      <c r="BS189" s="42"/>
      <c r="BT189" s="42"/>
      <c r="BU189" s="42"/>
      <c r="BV189" s="42"/>
      <c r="BW189" s="39">
        <v>9320</v>
      </c>
      <c r="BX189" s="39">
        <v>1211</v>
      </c>
      <c r="BY189" s="39"/>
      <c r="BZ189" s="39"/>
      <c r="CA189" s="39"/>
      <c r="CB189" s="27" t="s">
        <v>96</v>
      </c>
      <c r="CC189" s="27" t="s">
        <v>96</v>
      </c>
      <c r="CD189" s="27" t="s">
        <v>95</v>
      </c>
      <c r="CE189" s="27" t="s">
        <v>930</v>
      </c>
      <c r="CF189" s="27" t="s">
        <v>96</v>
      </c>
      <c r="CG189" s="27" t="s">
        <v>96</v>
      </c>
      <c r="CH189" s="27" t="s">
        <v>96</v>
      </c>
      <c r="CI189" s="27" t="s">
        <v>931</v>
      </c>
      <c r="CJ189" s="27" t="s">
        <v>1615</v>
      </c>
      <c r="CK189" s="27"/>
      <c r="CL189" s="27" t="s">
        <v>96</v>
      </c>
      <c r="CM189" s="27" t="s">
        <v>1616</v>
      </c>
      <c r="CN189" s="27" t="s">
        <v>96</v>
      </c>
      <c r="CO189" s="27"/>
      <c r="CP189" s="27" t="s">
        <v>96</v>
      </c>
      <c r="CQ189" s="27"/>
      <c r="CR189" s="43" t="s">
        <v>96</v>
      </c>
      <c r="CS189" s="43" t="s">
        <v>96</v>
      </c>
      <c r="CT189" s="43"/>
      <c r="CU189" s="43" t="s">
        <v>96</v>
      </c>
      <c r="CV189" s="43" t="s">
        <v>96</v>
      </c>
      <c r="CW189" s="43" t="s">
        <v>96</v>
      </c>
      <c r="CX189" s="43" t="s">
        <v>96</v>
      </c>
      <c r="CY189" s="43" t="s">
        <v>1723</v>
      </c>
      <c r="CZ189" s="43" t="s">
        <v>109</v>
      </c>
      <c r="DA189" s="43" t="s">
        <v>1470</v>
      </c>
      <c r="DB189" s="43" t="s">
        <v>96</v>
      </c>
      <c r="DC189" s="43" t="s">
        <v>168</v>
      </c>
      <c r="DD189" s="43" t="s">
        <v>1435</v>
      </c>
      <c r="DE189" s="43" t="s">
        <v>109</v>
      </c>
      <c r="DF189" s="43" t="s">
        <v>1470</v>
      </c>
    </row>
    <row r="190" spans="1:110" ht="14">
      <c r="A190" s="27" t="s">
        <v>932</v>
      </c>
      <c r="B190" s="27" t="s">
        <v>1713</v>
      </c>
      <c r="C190" s="27" t="s">
        <v>933</v>
      </c>
      <c r="D190" s="27" t="s">
        <v>122</v>
      </c>
      <c r="E190" s="27" t="s">
        <v>122</v>
      </c>
      <c r="F190" s="39">
        <v>828508926958</v>
      </c>
      <c r="G190" s="39">
        <v>8741311</v>
      </c>
      <c r="H190" s="40">
        <v>2022</v>
      </c>
      <c r="I190" s="39">
        <v>5940000</v>
      </c>
      <c r="J190" s="27" t="s">
        <v>94</v>
      </c>
      <c r="K190" s="41">
        <v>1.8617313355788081</v>
      </c>
      <c r="L190" s="39">
        <v>5940000</v>
      </c>
      <c r="M190" s="39">
        <v>8741311</v>
      </c>
      <c r="N190" s="41">
        <v>1.8617313355788081</v>
      </c>
      <c r="O190" s="39">
        <v>6283263.7571969889</v>
      </c>
      <c r="P190" s="39">
        <v>9118018</v>
      </c>
      <c r="Q190" s="41">
        <v>1.8879564892934506</v>
      </c>
      <c r="R190" s="39">
        <v>6473654.2059118347</v>
      </c>
      <c r="S190" s="39">
        <v>9270648</v>
      </c>
      <c r="T190" s="41">
        <v>1.9131390729435953</v>
      </c>
      <c r="U190" s="39">
        <v>6585030.5245166197</v>
      </c>
      <c r="V190" s="39">
        <v>9341672</v>
      </c>
      <c r="W190" s="41">
        <v>1.9312580787704401</v>
      </c>
      <c r="X190" s="42">
        <v>0.40335216097829901</v>
      </c>
      <c r="Y190" s="42">
        <v>7.3112329345197402E-2</v>
      </c>
      <c r="Z190" s="42">
        <v>1.8517431065462799E-2</v>
      </c>
      <c r="AA190" s="42">
        <v>0.26904765790748503</v>
      </c>
      <c r="AB190" s="42">
        <v>7.0207838826519903E-2</v>
      </c>
      <c r="AC190" s="42"/>
      <c r="AD190" s="42"/>
      <c r="AE190" s="42">
        <v>7.1754140985403302E-3</v>
      </c>
      <c r="AF190" s="42">
        <v>2.33794492573123E-2</v>
      </c>
      <c r="AG190" s="42">
        <v>2.27511693594591E-2</v>
      </c>
      <c r="AH190" s="42">
        <v>1.9134437596107601E-3</v>
      </c>
      <c r="AI190" s="42">
        <v>3.49203486128963E-2</v>
      </c>
      <c r="AJ190" s="42">
        <v>7.5622756789217094E-2</v>
      </c>
      <c r="AK190" s="39">
        <v>3100211</v>
      </c>
      <c r="AL190" s="39"/>
      <c r="AM190" s="39">
        <v>17835000</v>
      </c>
      <c r="AN190" s="39">
        <v>204000</v>
      </c>
      <c r="AO190" s="39">
        <v>1344388</v>
      </c>
      <c r="AP190" s="39">
        <v>1470000</v>
      </c>
      <c r="AQ190" s="39">
        <v>53940000</v>
      </c>
      <c r="AR190" s="39"/>
      <c r="AS190" s="42"/>
      <c r="AT190" s="42"/>
      <c r="AU190" s="42"/>
      <c r="AV190" s="42"/>
      <c r="AW190" s="42"/>
      <c r="AX190" s="42"/>
      <c r="AY190" s="42"/>
      <c r="AZ190" s="42"/>
      <c r="BA190" s="42"/>
      <c r="BB190" s="42"/>
      <c r="BC190" s="42"/>
      <c r="BD190" s="42"/>
      <c r="BE190" s="42"/>
      <c r="BF190" s="42"/>
      <c r="BG190" s="42"/>
      <c r="BH190" s="42"/>
      <c r="BI190" s="42">
        <v>0.236412586235908</v>
      </c>
      <c r="BJ190" s="42">
        <v>0.285209490156487</v>
      </c>
      <c r="BK190" s="42">
        <v>0.478377923607606</v>
      </c>
      <c r="BL190" s="42"/>
      <c r="BM190" s="42"/>
      <c r="BN190" s="42"/>
      <c r="BO190" s="42"/>
      <c r="BP190" s="42"/>
      <c r="BQ190" s="42"/>
      <c r="BR190" s="42"/>
      <c r="BS190" s="42"/>
      <c r="BT190" s="42"/>
      <c r="BU190" s="42"/>
      <c r="BV190" s="42"/>
      <c r="BW190" s="39"/>
      <c r="BX190" s="39"/>
      <c r="BY190" s="39"/>
      <c r="BZ190" s="39"/>
      <c r="CA190" s="39"/>
      <c r="CB190" s="27" t="s">
        <v>96</v>
      </c>
      <c r="CC190" s="27" t="s">
        <v>96</v>
      </c>
      <c r="CD190" s="27" t="s">
        <v>96</v>
      </c>
      <c r="CE190" s="27" t="s">
        <v>934</v>
      </c>
      <c r="CF190" s="27" t="s">
        <v>96</v>
      </c>
      <c r="CG190" s="27" t="s">
        <v>95</v>
      </c>
      <c r="CH190" s="27" t="s">
        <v>95</v>
      </c>
      <c r="CI190" s="27" t="s">
        <v>935</v>
      </c>
      <c r="CJ190" s="27" t="s">
        <v>1617</v>
      </c>
      <c r="CK190" s="27"/>
      <c r="CL190" s="27" t="s">
        <v>95</v>
      </c>
      <c r="CM190" s="27"/>
      <c r="CN190" s="27" t="s">
        <v>95</v>
      </c>
      <c r="CO190" s="27"/>
      <c r="CP190" s="27" t="s">
        <v>96</v>
      </c>
      <c r="CQ190" s="27"/>
      <c r="CR190" s="43" t="s">
        <v>96</v>
      </c>
      <c r="CS190" s="43"/>
      <c r="CT190" s="43"/>
      <c r="CU190" s="43"/>
      <c r="CV190" s="43" t="s">
        <v>96</v>
      </c>
      <c r="CW190" s="43" t="s">
        <v>96</v>
      </c>
      <c r="CX190" s="43" t="s">
        <v>96</v>
      </c>
      <c r="CY190" s="43" t="s">
        <v>1723</v>
      </c>
      <c r="CZ190" s="43" t="s">
        <v>109</v>
      </c>
      <c r="DA190" s="43" t="s">
        <v>1470</v>
      </c>
      <c r="DB190" s="43" t="s">
        <v>96</v>
      </c>
      <c r="DC190" s="43" t="s">
        <v>168</v>
      </c>
      <c r="DD190" s="43" t="s">
        <v>1724</v>
      </c>
      <c r="DE190" s="43" t="s">
        <v>109</v>
      </c>
      <c r="DF190" s="43" t="s">
        <v>1470</v>
      </c>
    </row>
    <row r="191" spans="1:110" ht="14">
      <c r="A191" s="27" t="s">
        <v>936</v>
      </c>
      <c r="B191" t="s">
        <v>1715</v>
      </c>
      <c r="C191" s="27" t="s">
        <v>937</v>
      </c>
      <c r="D191" s="27" t="s">
        <v>93</v>
      </c>
      <c r="E191" s="27" t="s">
        <v>93</v>
      </c>
      <c r="F191" s="39">
        <v>21497782868</v>
      </c>
      <c r="G191" s="39">
        <v>19199528</v>
      </c>
      <c r="H191" s="40">
        <v>2018</v>
      </c>
      <c r="I191" s="39">
        <v>3576050</v>
      </c>
      <c r="J191" s="27" t="s">
        <v>94</v>
      </c>
      <c r="K191" s="41">
        <v>0.51029365202488164</v>
      </c>
      <c r="L191" s="39">
        <v>4203269.3520122198</v>
      </c>
      <c r="M191" s="39">
        <v>21909727</v>
      </c>
      <c r="N191" s="41">
        <v>0.52560246158562807</v>
      </c>
      <c r="O191" s="39">
        <v>5110793.4035587143</v>
      </c>
      <c r="P191" s="39">
        <v>29073552</v>
      </c>
      <c r="Q191" s="41">
        <v>0.48161207507015441</v>
      </c>
      <c r="R191" s="39">
        <v>5324684.1300346712</v>
      </c>
      <c r="S191" s="39">
        <v>34334623</v>
      </c>
      <c r="T191" s="41">
        <v>0.42488236142057328</v>
      </c>
      <c r="U191" s="39">
        <v>5029303.776877813</v>
      </c>
      <c r="V191" s="39">
        <v>37634934</v>
      </c>
      <c r="W191" s="41">
        <v>0.36612033004228167</v>
      </c>
      <c r="X191" s="42">
        <v>0.56999999999999995</v>
      </c>
      <c r="Y191" s="42">
        <v>0.03</v>
      </c>
      <c r="Z191" s="42">
        <v>0.04</v>
      </c>
      <c r="AA191" s="42">
        <v>7.0000000000000007E-2</v>
      </c>
      <c r="AB191" s="42">
        <v>7.0000000000000007E-2</v>
      </c>
      <c r="AC191" s="42"/>
      <c r="AD191" s="42"/>
      <c r="AE191" s="42"/>
      <c r="AF191" s="42"/>
      <c r="AG191" s="42"/>
      <c r="AH191" s="42"/>
      <c r="AI191" s="42"/>
      <c r="AJ191" s="42">
        <v>0.22</v>
      </c>
      <c r="AK191" s="39"/>
      <c r="AL191" s="39"/>
      <c r="AM191" s="39"/>
      <c r="AN191" s="39">
        <v>121000</v>
      </c>
      <c r="AO191" s="39"/>
      <c r="AP191" s="39"/>
      <c r="AQ191" s="39"/>
      <c r="AR191" s="39">
        <v>4600</v>
      </c>
      <c r="AS191" s="42"/>
      <c r="AT191" s="42"/>
      <c r="AU191" s="42"/>
      <c r="AV191" s="42"/>
      <c r="AW191" s="42"/>
      <c r="AX191" s="42"/>
      <c r="AY191" s="42"/>
      <c r="AZ191" s="42">
        <v>0.72499999999999998</v>
      </c>
      <c r="BA191" s="42"/>
      <c r="BB191" s="42"/>
      <c r="BC191" s="42"/>
      <c r="BD191" s="42">
        <v>0.55752500000000005</v>
      </c>
      <c r="BE191" s="42"/>
      <c r="BF191" s="42"/>
      <c r="BG191" s="42">
        <v>0.13919999999999999</v>
      </c>
      <c r="BH191" s="42"/>
      <c r="BI191" s="42">
        <v>1.0149999999999999E-2</v>
      </c>
      <c r="BJ191" s="42">
        <v>1.7399999999999999E-2</v>
      </c>
      <c r="BK191" s="42"/>
      <c r="BL191" s="42"/>
      <c r="BM191" s="42"/>
      <c r="BN191" s="42"/>
      <c r="BO191" s="42">
        <v>0.27500000000000002</v>
      </c>
      <c r="BP191" s="42"/>
      <c r="BQ191" s="42"/>
      <c r="BR191" s="42"/>
      <c r="BS191" s="42"/>
      <c r="BT191" s="42"/>
      <c r="BU191" s="42"/>
      <c r="BV191" s="42"/>
      <c r="BW191" s="39"/>
      <c r="BX191" s="39"/>
      <c r="BY191" s="39"/>
      <c r="BZ191" s="39"/>
      <c r="CA191" s="39"/>
      <c r="CB191" s="27" t="s">
        <v>95</v>
      </c>
      <c r="CC191" s="27" t="s">
        <v>95</v>
      </c>
      <c r="CD191" s="27" t="s">
        <v>96</v>
      </c>
      <c r="CE191" s="27" t="s">
        <v>938</v>
      </c>
      <c r="CF191" s="27" t="s">
        <v>96</v>
      </c>
      <c r="CG191" s="27" t="s">
        <v>96</v>
      </c>
      <c r="CH191" s="27" t="s">
        <v>95</v>
      </c>
      <c r="CI191" s="27"/>
      <c r="CJ191" s="27" t="s">
        <v>123</v>
      </c>
      <c r="CK191" s="27"/>
      <c r="CL191" s="27" t="s">
        <v>95</v>
      </c>
      <c r="CM191" s="27"/>
      <c r="CN191" s="27" t="s">
        <v>95</v>
      </c>
      <c r="CO191" s="27"/>
      <c r="CP191" s="27" t="s">
        <v>95</v>
      </c>
      <c r="CQ191" s="27"/>
      <c r="CR191" s="43"/>
      <c r="CS191" s="43"/>
      <c r="CT191" s="43"/>
      <c r="CU191" s="43"/>
      <c r="CV191" s="43"/>
      <c r="CW191" s="43"/>
      <c r="CX191" s="43"/>
      <c r="CY191" s="43"/>
      <c r="CZ191" s="43"/>
      <c r="DA191" s="43"/>
      <c r="DB191" s="43"/>
      <c r="DC191" s="43"/>
      <c r="DD191" s="43"/>
      <c r="DE191" s="43"/>
      <c r="DF191" s="43"/>
    </row>
    <row r="192" spans="1:110" ht="14">
      <c r="A192" s="27" t="s">
        <v>939</v>
      </c>
      <c r="B192" s="47" t="s">
        <v>1712</v>
      </c>
      <c r="C192" s="27" t="s">
        <v>940</v>
      </c>
      <c r="D192" s="27" t="s">
        <v>122</v>
      </c>
      <c r="E192" s="27" t="s">
        <v>122</v>
      </c>
      <c r="F192" s="39" t="s">
        <v>1620</v>
      </c>
      <c r="G192" s="39">
        <v>23370002</v>
      </c>
      <c r="H192" s="40">
        <v>2023</v>
      </c>
      <c r="I192" s="39">
        <v>11579543</v>
      </c>
      <c r="J192" s="27" t="s">
        <v>94</v>
      </c>
      <c r="K192" s="41">
        <v>1.3574998984795017</v>
      </c>
      <c r="L192" s="39">
        <v>11671924.670673843</v>
      </c>
      <c r="M192" s="39">
        <v>23470220</v>
      </c>
      <c r="N192" s="41">
        <v>1.3624872630109699</v>
      </c>
      <c r="O192" s="39">
        <v>11599439.803607343</v>
      </c>
      <c r="P192" s="39">
        <v>22645122</v>
      </c>
      <c r="Q192" s="41">
        <v>1.4033612684078631</v>
      </c>
      <c r="R192" s="39">
        <v>11711797.39038505</v>
      </c>
      <c r="S192" s="39">
        <v>21336384</v>
      </c>
      <c r="T192" s="41">
        <v>1.5038685157729275</v>
      </c>
      <c r="U192" s="39">
        <v>11297974.923177201</v>
      </c>
      <c r="V192" s="39">
        <v>19535308</v>
      </c>
      <c r="W192" s="41">
        <v>1.5844826175205498</v>
      </c>
      <c r="X192" s="42">
        <v>0.1741</v>
      </c>
      <c r="Y192" s="42">
        <v>5.7000000000000002E-3</v>
      </c>
      <c r="Z192" s="42">
        <v>5.4000000000000003E-3</v>
      </c>
      <c r="AA192" s="42">
        <v>0.39739999999999998</v>
      </c>
      <c r="AB192" s="42">
        <v>0.2586</v>
      </c>
      <c r="AC192" s="42">
        <v>5.3E-3</v>
      </c>
      <c r="AD192" s="42"/>
      <c r="AE192" s="42">
        <v>3.7999999999999999E-2</v>
      </c>
      <c r="AF192" s="42">
        <v>9.7900000000000001E-2</v>
      </c>
      <c r="AG192" s="42"/>
      <c r="AH192" s="42"/>
      <c r="AI192" s="42"/>
      <c r="AJ192" s="42">
        <v>1.7600000000000001E-2</v>
      </c>
      <c r="AK192" s="39">
        <v>6752287</v>
      </c>
      <c r="AL192" s="39"/>
      <c r="AM192" s="39"/>
      <c r="AN192" s="39">
        <v>463000</v>
      </c>
      <c r="AO192" s="39"/>
      <c r="AP192" s="39">
        <v>15420071</v>
      </c>
      <c r="AQ192" s="39"/>
      <c r="AR192" s="39"/>
      <c r="AS192" s="42"/>
      <c r="AT192" s="42"/>
      <c r="AU192" s="42"/>
      <c r="AV192" s="42"/>
      <c r="AW192" s="42"/>
      <c r="AX192" s="42"/>
      <c r="AY192" s="42"/>
      <c r="AZ192" s="42"/>
      <c r="BA192" s="42"/>
      <c r="BB192" s="42"/>
      <c r="BC192" s="42"/>
      <c r="BD192" s="42"/>
      <c r="BE192" s="42"/>
      <c r="BF192" s="42">
        <v>1.40205878591236E-2</v>
      </c>
      <c r="BG192" s="42"/>
      <c r="BH192" s="42"/>
      <c r="BI192" s="42">
        <v>4.1328487661386998E-2</v>
      </c>
      <c r="BJ192" s="42">
        <v>0.54179357510050297</v>
      </c>
      <c r="BK192" s="42">
        <v>0.38167844793184003</v>
      </c>
      <c r="BL192" s="42"/>
      <c r="BM192" s="42"/>
      <c r="BN192" s="42">
        <v>1.39016712490294E-2</v>
      </c>
      <c r="BO192" s="42"/>
      <c r="BP192" s="42">
        <v>7.3000000000000001E-3</v>
      </c>
      <c r="BQ192" s="42"/>
      <c r="BR192" s="42"/>
      <c r="BS192" s="42"/>
      <c r="BT192" s="42"/>
      <c r="BU192" s="42"/>
      <c r="BV192" s="42"/>
      <c r="BW192" s="27"/>
      <c r="BX192" s="27"/>
      <c r="BY192" s="27"/>
      <c r="BZ192" s="27"/>
      <c r="CA192" s="27"/>
      <c r="CB192" s="27" t="s">
        <v>96</v>
      </c>
      <c r="CC192" s="27" t="s">
        <v>95</v>
      </c>
      <c r="CD192" s="27" t="s">
        <v>96</v>
      </c>
      <c r="CE192" s="27" t="s">
        <v>273</v>
      </c>
      <c r="CF192" s="27" t="s">
        <v>96</v>
      </c>
      <c r="CG192" s="27" t="s">
        <v>96</v>
      </c>
      <c r="CH192" s="27" t="s">
        <v>96</v>
      </c>
      <c r="CI192" s="27" t="s">
        <v>941</v>
      </c>
      <c r="CJ192" s="27" t="s">
        <v>942</v>
      </c>
      <c r="CK192" s="27"/>
      <c r="CL192" s="27" t="s">
        <v>96</v>
      </c>
      <c r="CM192" s="27" t="s">
        <v>943</v>
      </c>
      <c r="CN192" s="27" t="s">
        <v>96</v>
      </c>
      <c r="CO192" s="27"/>
      <c r="CP192" s="27"/>
      <c r="CQ192" s="27"/>
      <c r="CR192" s="43" t="s">
        <v>96</v>
      </c>
      <c r="CS192" s="43" t="s">
        <v>96</v>
      </c>
      <c r="CT192" s="43"/>
      <c r="CU192" s="43"/>
      <c r="CV192" s="43" t="s">
        <v>96</v>
      </c>
      <c r="CW192" s="43" t="s">
        <v>96</v>
      </c>
      <c r="CX192" s="43" t="s">
        <v>96</v>
      </c>
      <c r="CY192" s="43" t="s">
        <v>1721</v>
      </c>
      <c r="CZ192" s="43" t="s">
        <v>109</v>
      </c>
      <c r="DA192" s="43" t="s">
        <v>1470</v>
      </c>
      <c r="DB192" s="43"/>
      <c r="DC192" s="43"/>
      <c r="DD192" s="43"/>
      <c r="DE192" s="43"/>
      <c r="DF192" s="43"/>
    </row>
    <row r="193" spans="1:110" ht="14">
      <c r="A193" s="27" t="s">
        <v>944</v>
      </c>
      <c r="B193" s="27" t="s">
        <v>1713</v>
      </c>
      <c r="C193" s="27" t="s">
        <v>945</v>
      </c>
      <c r="D193" s="27" t="s">
        <v>93</v>
      </c>
      <c r="E193" s="27" t="s">
        <v>1651</v>
      </c>
      <c r="F193" s="39">
        <v>7764999999.4499998</v>
      </c>
      <c r="G193" s="39">
        <v>9196091</v>
      </c>
      <c r="H193" s="40">
        <v>2018</v>
      </c>
      <c r="I193" s="39">
        <v>1500000</v>
      </c>
      <c r="J193" s="27" t="s">
        <v>94</v>
      </c>
      <c r="K193" s="41">
        <v>0.44688433825805879</v>
      </c>
      <c r="L193" s="39">
        <v>1692923.0457810825</v>
      </c>
      <c r="M193" s="39">
        <v>10076553</v>
      </c>
      <c r="N193" s="41">
        <v>0.46029086840580058</v>
      </c>
      <c r="O193" s="39">
        <v>2014195.3368175672</v>
      </c>
      <c r="P193" s="39">
        <v>11639629</v>
      </c>
      <c r="Q193" s="41">
        <v>0.47409959445797462</v>
      </c>
      <c r="R193" s="39">
        <v>2954290.359388574</v>
      </c>
      <c r="S193" s="39">
        <v>13612850</v>
      </c>
      <c r="T193" s="41">
        <v>0.59458131031383443</v>
      </c>
      <c r="U193" s="39">
        <v>4146881.2705582445</v>
      </c>
      <c r="V193" s="39">
        <v>15492103</v>
      </c>
      <c r="W193" s="41">
        <v>0.73336192958920066</v>
      </c>
      <c r="X193" s="42"/>
      <c r="Y193" s="42"/>
      <c r="Z193" s="42"/>
      <c r="AA193" s="42"/>
      <c r="AB193" s="42"/>
      <c r="AC193" s="42"/>
      <c r="AD193" s="42"/>
      <c r="AE193" s="42"/>
      <c r="AF193" s="42"/>
      <c r="AG193" s="42"/>
      <c r="AH193" s="42"/>
      <c r="AI193" s="42"/>
      <c r="AJ193" s="42"/>
      <c r="AK193" s="39"/>
      <c r="AL193" s="39"/>
      <c r="AM193" s="39"/>
      <c r="AN193" s="39"/>
      <c r="AO193" s="39"/>
      <c r="AP193" s="39">
        <v>340016</v>
      </c>
      <c r="AQ193" s="39">
        <v>1087800</v>
      </c>
      <c r="AR193" s="39"/>
      <c r="AS193" s="42"/>
      <c r="AT193" s="42"/>
      <c r="AU193" s="42"/>
      <c r="AV193" s="42"/>
      <c r="AW193" s="42">
        <v>0.125</v>
      </c>
      <c r="AX193" s="42"/>
      <c r="AY193" s="42"/>
      <c r="AZ193" s="42">
        <v>0.38</v>
      </c>
      <c r="BA193" s="42"/>
      <c r="BB193" s="42">
        <v>0.8</v>
      </c>
      <c r="BC193" s="42"/>
      <c r="BD193" s="42">
        <v>1</v>
      </c>
      <c r="BE193" s="42"/>
      <c r="BF193" s="42"/>
      <c r="BG193" s="42"/>
      <c r="BH193" s="42"/>
      <c r="BI193" s="42"/>
      <c r="BJ193" s="42"/>
      <c r="BK193" s="42"/>
      <c r="BL193" s="42"/>
      <c r="BM193" s="42"/>
      <c r="BN193" s="42"/>
      <c r="BO193" s="42"/>
      <c r="BP193" s="42"/>
      <c r="BQ193" s="42"/>
      <c r="BR193" s="42"/>
      <c r="BS193" s="42"/>
      <c r="BT193" s="42"/>
      <c r="BU193" s="42"/>
      <c r="BV193" s="42"/>
      <c r="BW193" s="39"/>
      <c r="BX193" s="39"/>
      <c r="BY193" s="39"/>
      <c r="BZ193" s="39"/>
      <c r="CA193" s="39"/>
      <c r="CB193" s="27" t="s">
        <v>96</v>
      </c>
      <c r="CC193" s="27" t="s">
        <v>95</v>
      </c>
      <c r="CD193" s="27" t="s">
        <v>96</v>
      </c>
      <c r="CE193" s="27" t="s">
        <v>946</v>
      </c>
      <c r="CF193" s="27" t="s">
        <v>96</v>
      </c>
      <c r="CG193" s="27" t="s">
        <v>96</v>
      </c>
      <c r="CH193" s="27" t="s">
        <v>95</v>
      </c>
      <c r="CI193" s="27"/>
      <c r="CJ193" s="27" t="s">
        <v>1596</v>
      </c>
      <c r="CK193" s="27"/>
      <c r="CL193" s="27" t="s">
        <v>96</v>
      </c>
      <c r="CM193" s="27"/>
      <c r="CN193" s="27"/>
      <c r="CO193" s="27"/>
      <c r="CP193" s="27"/>
      <c r="CQ193" s="27"/>
      <c r="CR193" s="43"/>
      <c r="CS193" s="43"/>
      <c r="CT193" s="43"/>
      <c r="CU193" s="43"/>
      <c r="CV193" s="43"/>
      <c r="CW193" s="43"/>
      <c r="CX193" s="43"/>
      <c r="CY193" s="43"/>
      <c r="CZ193" s="43"/>
      <c r="DA193" s="43"/>
      <c r="DB193" s="43"/>
      <c r="DC193" s="43"/>
      <c r="DD193" s="43"/>
      <c r="DE193" s="43"/>
      <c r="DF193" s="43"/>
    </row>
    <row r="194" spans="1:110" ht="14">
      <c r="A194" s="27" t="s">
        <v>947</v>
      </c>
      <c r="B194" s="33" t="s">
        <v>1693</v>
      </c>
      <c r="C194" s="27" t="s">
        <v>948</v>
      </c>
      <c r="D194" s="27" t="s">
        <v>1651</v>
      </c>
      <c r="E194" s="27" t="s">
        <v>1651</v>
      </c>
      <c r="F194" s="39">
        <v>70655628147.899994</v>
      </c>
      <c r="G194" s="39">
        <v>61894186</v>
      </c>
      <c r="H194" s="40">
        <v>2021</v>
      </c>
      <c r="I194" s="39">
        <v>14800000</v>
      </c>
      <c r="J194" s="27" t="s">
        <v>94</v>
      </c>
      <c r="K194" s="41">
        <v>0.65511718993249946</v>
      </c>
      <c r="L194" s="39">
        <v>15450695.061186844</v>
      </c>
      <c r="M194" s="39">
        <v>63766638</v>
      </c>
      <c r="N194" s="41">
        <v>0.66383727805301418</v>
      </c>
      <c r="O194" s="39">
        <v>19924911.838456303</v>
      </c>
      <c r="P194" s="39">
        <v>79837087</v>
      </c>
      <c r="Q194" s="41">
        <v>0.68375239639460461</v>
      </c>
      <c r="R194" s="39">
        <v>26420027.836154576</v>
      </c>
      <c r="S194" s="39">
        <v>102778984</v>
      </c>
      <c r="T194" s="41">
        <v>0.70426496828644281</v>
      </c>
      <c r="U194" s="39">
        <v>41484749.953342564</v>
      </c>
      <c r="V194" s="39">
        <v>128293576</v>
      </c>
      <c r="W194" s="41">
        <v>0.88591223918522555</v>
      </c>
      <c r="X194" s="42">
        <v>0.37</v>
      </c>
      <c r="Y194" s="42">
        <v>0.04</v>
      </c>
      <c r="Z194" s="42">
        <v>0.01</v>
      </c>
      <c r="AA194" s="42">
        <v>0.11</v>
      </c>
      <c r="AB194" s="42">
        <v>7.0000000000000007E-2</v>
      </c>
      <c r="AC194" s="42"/>
      <c r="AD194" s="42">
        <v>0.3</v>
      </c>
      <c r="AE194" s="42"/>
      <c r="AF194" s="42">
        <v>0.02</v>
      </c>
      <c r="AG194" s="42"/>
      <c r="AH194" s="42"/>
      <c r="AI194" s="42"/>
      <c r="AJ194" s="42">
        <v>0.08</v>
      </c>
      <c r="AK194" s="39"/>
      <c r="AL194" s="39">
        <v>41700</v>
      </c>
      <c r="AM194" s="39">
        <v>121600</v>
      </c>
      <c r="AN194" s="39">
        <v>61000</v>
      </c>
      <c r="AO194" s="39">
        <v>59</v>
      </c>
      <c r="AP194" s="39">
        <v>72500</v>
      </c>
      <c r="AQ194" s="39">
        <v>2600</v>
      </c>
      <c r="AR194" s="39"/>
      <c r="AS194" s="42"/>
      <c r="AT194" s="42"/>
      <c r="AU194" s="42">
        <v>6.8000000000000005E-2</v>
      </c>
      <c r="AV194" s="42"/>
      <c r="AW194" s="42"/>
      <c r="AX194" s="42">
        <v>0.219</v>
      </c>
      <c r="AY194" s="42"/>
      <c r="AZ194" s="42"/>
      <c r="BA194" s="42">
        <v>0.44900000000000001</v>
      </c>
      <c r="BB194" s="42"/>
      <c r="BC194" s="42"/>
      <c r="BD194" s="42">
        <v>0.14399999999999999</v>
      </c>
      <c r="BE194" s="42"/>
      <c r="BF194" s="42"/>
      <c r="BG194" s="42"/>
      <c r="BH194" s="42"/>
      <c r="BI194" s="42"/>
      <c r="BJ194" s="42">
        <v>7.4999999999999997E-2</v>
      </c>
      <c r="BK194" s="42"/>
      <c r="BL194" s="42"/>
      <c r="BM194" s="42"/>
      <c r="BN194" s="42"/>
      <c r="BO194" s="42">
        <v>0.78100000000000003</v>
      </c>
      <c r="BP194" s="42"/>
      <c r="BQ194" s="42">
        <v>0.10857908847184999</v>
      </c>
      <c r="BR194" s="42">
        <v>0.53753351206434297</v>
      </c>
      <c r="BS194" s="42">
        <v>0.27479892761394098</v>
      </c>
      <c r="BT194" s="42">
        <v>2.6737967914438501E-3</v>
      </c>
      <c r="BU194" s="42">
        <v>7.8877005347593607E-2</v>
      </c>
      <c r="BV194" s="42"/>
      <c r="BW194" s="39">
        <v>238</v>
      </c>
      <c r="BX194" s="39"/>
      <c r="BY194" s="39"/>
      <c r="BZ194" s="39"/>
      <c r="CA194" s="39"/>
      <c r="CB194" s="27" t="s">
        <v>95</v>
      </c>
      <c r="CC194" s="27" t="s">
        <v>96</v>
      </c>
      <c r="CD194" s="27" t="s">
        <v>95</v>
      </c>
      <c r="CE194" s="27" t="s">
        <v>949</v>
      </c>
      <c r="CF194" s="27" t="s">
        <v>96</v>
      </c>
      <c r="CG194" s="27" t="s">
        <v>96</v>
      </c>
      <c r="CH194" s="27" t="s">
        <v>95</v>
      </c>
      <c r="CI194" s="27" t="s">
        <v>95</v>
      </c>
      <c r="CJ194" s="27" t="s">
        <v>715</v>
      </c>
      <c r="CK194" s="27" t="s">
        <v>95</v>
      </c>
      <c r="CL194" s="27" t="s">
        <v>96</v>
      </c>
      <c r="CM194" s="27" t="s">
        <v>950</v>
      </c>
      <c r="CN194" s="27" t="s">
        <v>95</v>
      </c>
      <c r="CO194" s="27"/>
      <c r="CP194" s="27" t="s">
        <v>95</v>
      </c>
      <c r="CQ194" s="27"/>
      <c r="CR194" s="43" t="s">
        <v>96</v>
      </c>
      <c r="CS194" s="43"/>
      <c r="CT194" s="43"/>
      <c r="CU194" s="43"/>
      <c r="CV194" s="43" t="s">
        <v>96</v>
      </c>
      <c r="CW194" s="43"/>
      <c r="CX194" s="43"/>
      <c r="CY194" s="43"/>
      <c r="CZ194" s="43"/>
      <c r="DA194" s="43" t="s">
        <v>1470</v>
      </c>
      <c r="DB194" s="43"/>
      <c r="DC194" s="43"/>
      <c r="DD194" s="43"/>
      <c r="DE194" s="43"/>
      <c r="DF194" s="43"/>
    </row>
    <row r="195" spans="1:110" ht="14">
      <c r="A195" s="27" t="s">
        <v>951</v>
      </c>
      <c r="B195" s="47" t="s">
        <v>1712</v>
      </c>
      <c r="C195" s="27" t="s">
        <v>952</v>
      </c>
      <c r="D195" s="27" t="s">
        <v>1650</v>
      </c>
      <c r="E195" s="27" t="s">
        <v>1650</v>
      </c>
      <c r="F195" s="39">
        <v>515906283941</v>
      </c>
      <c r="G195" s="39">
        <v>71715662</v>
      </c>
      <c r="H195" s="40">
        <v>2023</v>
      </c>
      <c r="I195" s="39">
        <v>26950000</v>
      </c>
      <c r="J195" s="27" t="s">
        <v>94</v>
      </c>
      <c r="K195" s="41">
        <v>1.0295605503628507</v>
      </c>
      <c r="L195" s="39">
        <v>26723549.584977396</v>
      </c>
      <c r="M195" s="39">
        <v>71754996</v>
      </c>
      <c r="N195" s="41">
        <v>1.0203499188043132</v>
      </c>
      <c r="O195" s="39">
        <v>29470299.471328408</v>
      </c>
      <c r="P195" s="39">
        <v>71268393</v>
      </c>
      <c r="Q195" s="41">
        <v>1.1329081953172448</v>
      </c>
      <c r="R195" s="39">
        <v>32162021.250046946</v>
      </c>
      <c r="S195" s="39">
        <v>69653059</v>
      </c>
      <c r="T195" s="41">
        <v>1.2650575290951311</v>
      </c>
      <c r="U195" s="39">
        <v>33360259.999829587</v>
      </c>
      <c r="V195" s="39">
        <v>66577960.000000007</v>
      </c>
      <c r="W195" s="41">
        <v>1.3727962316999924</v>
      </c>
      <c r="X195" s="42">
        <v>0.64</v>
      </c>
      <c r="Y195" s="42">
        <v>0.03</v>
      </c>
      <c r="Z195" s="42">
        <v>0.02</v>
      </c>
      <c r="AA195" s="42">
        <v>0.08</v>
      </c>
      <c r="AB195" s="42">
        <v>0.1762</v>
      </c>
      <c r="AC195" s="42">
        <v>0.01</v>
      </c>
      <c r="AD195" s="42"/>
      <c r="AE195" s="42">
        <v>0.01</v>
      </c>
      <c r="AF195" s="42">
        <v>1.4E-2</v>
      </c>
      <c r="AG195" s="42"/>
      <c r="AH195" s="42"/>
      <c r="AI195" s="42"/>
      <c r="AJ195" s="42">
        <v>0.02</v>
      </c>
      <c r="AK195" s="39"/>
      <c r="AL195" s="39"/>
      <c r="AM195" s="39"/>
      <c r="AN195" s="39">
        <v>368314</v>
      </c>
      <c r="AO195" s="39">
        <v>880000</v>
      </c>
      <c r="AP195" s="39">
        <v>18040000</v>
      </c>
      <c r="AQ195" s="39"/>
      <c r="AR195" s="39"/>
      <c r="AS195" s="42"/>
      <c r="AT195" s="42"/>
      <c r="AU195" s="42"/>
      <c r="AV195" s="42"/>
      <c r="AW195" s="42"/>
      <c r="AX195" s="42"/>
      <c r="AY195" s="42"/>
      <c r="AZ195" s="42">
        <v>0.72282003710575105</v>
      </c>
      <c r="BA195" s="42"/>
      <c r="BB195" s="42"/>
      <c r="BC195" s="42"/>
      <c r="BD195" s="42"/>
      <c r="BE195" s="42"/>
      <c r="BF195" s="42"/>
      <c r="BG195" s="42"/>
      <c r="BH195" s="42"/>
      <c r="BI195" s="42"/>
      <c r="BJ195" s="42">
        <v>0.34545454545454501</v>
      </c>
      <c r="BK195" s="42"/>
      <c r="BL195" s="42"/>
      <c r="BM195" s="42"/>
      <c r="BN195" s="42"/>
      <c r="BO195" s="42">
        <v>0.27717996289424901</v>
      </c>
      <c r="BP195" s="42">
        <v>0.37</v>
      </c>
      <c r="BQ195" s="42"/>
      <c r="BR195" s="42"/>
      <c r="BS195" s="42"/>
      <c r="BT195" s="42"/>
      <c r="BU195" s="42"/>
      <c r="BV195" s="42"/>
      <c r="BW195" s="39"/>
      <c r="BX195" s="39"/>
      <c r="BY195" s="39"/>
      <c r="BZ195" s="39"/>
      <c r="CA195" s="39"/>
      <c r="CB195" s="27" t="s">
        <v>96</v>
      </c>
      <c r="CC195" s="27" t="s">
        <v>95</v>
      </c>
      <c r="CD195" s="27" t="s">
        <v>96</v>
      </c>
      <c r="CE195" s="27" t="s">
        <v>953</v>
      </c>
      <c r="CF195" s="27" t="s">
        <v>96</v>
      </c>
      <c r="CG195" s="27" t="s">
        <v>96</v>
      </c>
      <c r="CH195" s="27" t="s">
        <v>96</v>
      </c>
      <c r="CI195" s="27" t="s">
        <v>954</v>
      </c>
      <c r="CJ195" s="27" t="s">
        <v>1558</v>
      </c>
      <c r="CK195" s="27"/>
      <c r="CL195" s="27" t="s">
        <v>96</v>
      </c>
      <c r="CM195" s="43" t="s">
        <v>955</v>
      </c>
      <c r="CN195" s="27" t="s">
        <v>95</v>
      </c>
      <c r="CO195" s="27"/>
      <c r="CP195" s="27"/>
      <c r="CQ195" s="27"/>
      <c r="CR195" s="43" t="s">
        <v>96</v>
      </c>
      <c r="CS195" s="43" t="s">
        <v>96</v>
      </c>
      <c r="CT195" s="43"/>
      <c r="CU195" s="43"/>
      <c r="CV195" s="43"/>
      <c r="CW195" s="43"/>
      <c r="CX195" s="43"/>
      <c r="CY195" s="43" t="s">
        <v>1721</v>
      </c>
      <c r="CZ195" s="43" t="s">
        <v>148</v>
      </c>
      <c r="DA195" s="43" t="s">
        <v>1471</v>
      </c>
      <c r="DB195" s="43"/>
      <c r="DC195" s="43"/>
      <c r="DD195" s="43"/>
      <c r="DE195" s="43"/>
      <c r="DF195" s="43"/>
    </row>
    <row r="196" spans="1:110" ht="14">
      <c r="A196" s="27" t="s">
        <v>956</v>
      </c>
      <c r="B196" s="47" t="s">
        <v>1712</v>
      </c>
      <c r="C196" s="27" t="s">
        <v>957</v>
      </c>
      <c r="D196" s="27" t="s">
        <v>1651</v>
      </c>
      <c r="E196" s="27" t="s">
        <v>1651</v>
      </c>
      <c r="F196" s="39">
        <v>3624889673</v>
      </c>
      <c r="G196" s="39">
        <v>1338533</v>
      </c>
      <c r="H196" s="40">
        <v>2021</v>
      </c>
      <c r="I196" s="39">
        <v>240276.04323100002</v>
      </c>
      <c r="J196" s="27" t="s">
        <v>94</v>
      </c>
      <c r="K196" s="41">
        <v>0.49180000000000001</v>
      </c>
      <c r="L196" s="39">
        <v>201508.20522181073</v>
      </c>
      <c r="M196" s="39">
        <v>1361744</v>
      </c>
      <c r="N196" s="41">
        <v>0.40541928187699255</v>
      </c>
      <c r="O196" s="39">
        <v>213144.35818533957</v>
      </c>
      <c r="P196" s="39">
        <v>1508837</v>
      </c>
      <c r="Q196" s="41">
        <v>0.3870246724551818</v>
      </c>
      <c r="R196" s="39">
        <v>311785.99613392097</v>
      </c>
      <c r="S196" s="39">
        <v>1709157</v>
      </c>
      <c r="T196" s="41">
        <v>0.49978334850811534</v>
      </c>
      <c r="U196" s="39">
        <v>353408.41427289165</v>
      </c>
      <c r="V196" s="39">
        <v>1880897</v>
      </c>
      <c r="W196" s="41">
        <v>0.51477684896335885</v>
      </c>
      <c r="X196" s="42">
        <v>0.5857</v>
      </c>
      <c r="Y196" s="42">
        <v>3.7600000000000001E-2</v>
      </c>
      <c r="Z196" s="42">
        <v>5.3900000000000003E-2</v>
      </c>
      <c r="AA196" s="42">
        <v>0.13009999999999999</v>
      </c>
      <c r="AB196" s="42">
        <v>9.7299999999999998E-2</v>
      </c>
      <c r="AC196" s="42"/>
      <c r="AD196" s="42"/>
      <c r="AE196" s="42"/>
      <c r="AF196" s="42">
        <v>3.32E-2</v>
      </c>
      <c r="AG196" s="42">
        <v>5.7000000000000002E-3</v>
      </c>
      <c r="AH196" s="42">
        <v>2.5000000000000001E-3</v>
      </c>
      <c r="AI196" s="42">
        <v>3.2099999999999997E-2</v>
      </c>
      <c r="AJ196" s="42">
        <v>2.1899999999999899E-2</v>
      </c>
      <c r="AK196" s="39"/>
      <c r="AL196" s="39"/>
      <c r="AM196" s="39"/>
      <c r="AN196" s="39">
        <v>2000</v>
      </c>
      <c r="AO196" s="39"/>
      <c r="AP196" s="39"/>
      <c r="AQ196" s="39"/>
      <c r="AR196" s="39"/>
      <c r="AS196" s="42"/>
      <c r="AT196" s="42"/>
      <c r="AU196" s="42"/>
      <c r="AV196" s="42"/>
      <c r="AW196" s="42"/>
      <c r="AX196" s="42"/>
      <c r="AY196" s="42"/>
      <c r="AZ196" s="42"/>
      <c r="BA196" s="42"/>
      <c r="BB196" s="42"/>
      <c r="BC196" s="42"/>
      <c r="BD196" s="42"/>
      <c r="BE196" s="42"/>
      <c r="BF196" s="42"/>
      <c r="BG196" s="42"/>
      <c r="BH196" s="42"/>
      <c r="BI196" s="42"/>
      <c r="BJ196" s="42"/>
      <c r="BK196" s="42"/>
      <c r="BL196" s="42"/>
      <c r="BM196" s="42"/>
      <c r="BN196" s="42"/>
      <c r="BO196" s="42"/>
      <c r="BP196" s="42">
        <v>1</v>
      </c>
      <c r="BQ196" s="42"/>
      <c r="BR196" s="42"/>
      <c r="BS196" s="42"/>
      <c r="BT196" s="42"/>
      <c r="BU196" s="42"/>
      <c r="BV196" s="42"/>
      <c r="BW196" s="39"/>
      <c r="BX196" s="39"/>
      <c r="BY196" s="39"/>
      <c r="BZ196" s="39"/>
      <c r="CA196" s="39"/>
      <c r="CB196" s="27" t="s">
        <v>95</v>
      </c>
      <c r="CC196" s="27" t="s">
        <v>96</v>
      </c>
      <c r="CD196" s="27" t="s">
        <v>95</v>
      </c>
      <c r="CE196" s="27" t="s">
        <v>958</v>
      </c>
      <c r="CF196" s="27" t="s">
        <v>96</v>
      </c>
      <c r="CG196" s="27" t="s">
        <v>96</v>
      </c>
      <c r="CH196" s="27" t="s">
        <v>95</v>
      </c>
      <c r="CI196" s="27"/>
      <c r="CJ196" s="27" t="s">
        <v>959</v>
      </c>
      <c r="CK196" s="27"/>
      <c r="CL196" s="27"/>
      <c r="CM196" s="27"/>
      <c r="CN196" s="27" t="s">
        <v>96</v>
      </c>
      <c r="CO196" s="27"/>
      <c r="CP196" s="27"/>
      <c r="CQ196" s="27"/>
      <c r="CR196" s="43" t="s">
        <v>96</v>
      </c>
      <c r="CS196" s="43" t="s">
        <v>96</v>
      </c>
      <c r="CT196" s="43" t="s">
        <v>96</v>
      </c>
      <c r="CU196" s="43"/>
      <c r="CV196" s="43"/>
      <c r="CW196" s="43"/>
      <c r="CX196" s="43"/>
      <c r="CY196" s="43" t="s">
        <v>1721</v>
      </c>
      <c r="CZ196" s="43" t="s">
        <v>109</v>
      </c>
      <c r="DA196" s="43" t="s">
        <v>197</v>
      </c>
      <c r="DB196" s="43"/>
      <c r="DC196" s="43"/>
      <c r="DD196" s="43"/>
      <c r="DE196" s="43"/>
      <c r="DF196" s="43"/>
    </row>
    <row r="197" spans="1:110" ht="14">
      <c r="A197" s="27" t="s">
        <v>960</v>
      </c>
      <c r="B197" s="33" t="s">
        <v>1693</v>
      </c>
      <c r="C197" s="27" t="s">
        <v>961</v>
      </c>
      <c r="D197" s="27" t="s">
        <v>93</v>
      </c>
      <c r="E197" s="27" t="s">
        <v>93</v>
      </c>
      <c r="F197" s="39">
        <v>9171261838</v>
      </c>
      <c r="G197" s="39">
        <v>9196283</v>
      </c>
      <c r="H197" s="40">
        <v>2023</v>
      </c>
      <c r="I197" s="39">
        <v>348000</v>
      </c>
      <c r="J197" s="27" t="s">
        <v>94</v>
      </c>
      <c r="K197" s="41">
        <v>0.1036750019039482</v>
      </c>
      <c r="L197" s="39">
        <v>350134.51166737685</v>
      </c>
      <c r="M197" s="39">
        <v>8983194</v>
      </c>
      <c r="N197" s="41">
        <v>0.10678525196106664</v>
      </c>
      <c r="O197" s="39">
        <v>428807.43557917903</v>
      </c>
      <c r="P197" s="39">
        <v>10681222</v>
      </c>
      <c r="Q197" s="41">
        <v>0.10998880951989864</v>
      </c>
      <c r="R197" s="39">
        <v>537653.66916452441</v>
      </c>
      <c r="S197" s="39">
        <v>13002415</v>
      </c>
      <c r="T197" s="41">
        <v>0.1132884738054956</v>
      </c>
      <c r="U197" s="39">
        <v>658582.54669576336</v>
      </c>
      <c r="V197" s="39">
        <v>15463023</v>
      </c>
      <c r="W197" s="41">
        <v>0.11668712801966047</v>
      </c>
      <c r="X197" s="42">
        <v>0.38</v>
      </c>
      <c r="Y197" s="42">
        <v>0.02</v>
      </c>
      <c r="Z197" s="42">
        <v>0.04</v>
      </c>
      <c r="AA197" s="42">
        <v>0.04</v>
      </c>
      <c r="AB197" s="42">
        <v>0.1</v>
      </c>
      <c r="AC197" s="42"/>
      <c r="AD197" s="42"/>
      <c r="AE197" s="42"/>
      <c r="AF197" s="42">
        <v>0.03</v>
      </c>
      <c r="AG197" s="42"/>
      <c r="AH197" s="42"/>
      <c r="AI197" s="42"/>
      <c r="AJ197" s="42">
        <v>0.39</v>
      </c>
      <c r="AK197" s="39"/>
      <c r="AL197" s="39"/>
      <c r="AM197" s="39"/>
      <c r="AN197" s="39">
        <v>8000</v>
      </c>
      <c r="AO197" s="39">
        <v>1172</v>
      </c>
      <c r="AP197" s="39"/>
      <c r="AQ197" s="39"/>
      <c r="AR197" s="39"/>
      <c r="AS197" s="42"/>
      <c r="AT197" s="42"/>
      <c r="AU197" s="42"/>
      <c r="AV197" s="42"/>
      <c r="AW197" s="42"/>
      <c r="AX197" s="42"/>
      <c r="AY197" s="42"/>
      <c r="AZ197" s="42"/>
      <c r="BA197" s="42"/>
      <c r="BB197" s="42"/>
      <c r="BC197" s="42"/>
      <c r="BD197" s="42"/>
      <c r="BE197" s="42"/>
      <c r="BF197" s="42"/>
      <c r="BG197" s="42"/>
      <c r="BH197" s="42"/>
      <c r="BI197" s="42"/>
      <c r="BJ197" s="42"/>
      <c r="BK197" s="42"/>
      <c r="BL197" s="42"/>
      <c r="BM197" s="42"/>
      <c r="BN197" s="42"/>
      <c r="BO197" s="42"/>
      <c r="BP197" s="42"/>
      <c r="BQ197" s="42"/>
      <c r="BR197" s="42"/>
      <c r="BS197" s="42"/>
      <c r="BT197" s="42"/>
      <c r="BU197" s="42"/>
      <c r="BV197" s="42"/>
      <c r="BW197" s="39"/>
      <c r="BX197" s="39"/>
      <c r="BY197" s="39"/>
      <c r="BZ197" s="39"/>
      <c r="CA197" s="39"/>
      <c r="CB197" s="27" t="s">
        <v>95</v>
      </c>
      <c r="CC197" s="27" t="s">
        <v>96</v>
      </c>
      <c r="CD197" s="27" t="s">
        <v>96</v>
      </c>
      <c r="CE197" s="27" t="s">
        <v>962</v>
      </c>
      <c r="CF197" s="27" t="s">
        <v>96</v>
      </c>
      <c r="CG197" s="27" t="s">
        <v>96</v>
      </c>
      <c r="CH197" s="27" t="s">
        <v>95</v>
      </c>
      <c r="CI197" s="27"/>
      <c r="CJ197" s="27" t="s">
        <v>123</v>
      </c>
      <c r="CK197" s="27"/>
      <c r="CL197" s="27" t="s">
        <v>96</v>
      </c>
      <c r="CM197" s="27" t="s">
        <v>963</v>
      </c>
      <c r="CN197" s="27"/>
      <c r="CO197" s="27"/>
      <c r="CP197" s="27"/>
      <c r="CQ197" s="27"/>
      <c r="CR197" s="43" t="s">
        <v>96</v>
      </c>
      <c r="CS197" s="43"/>
      <c r="CT197" s="43"/>
      <c r="CU197" s="43"/>
      <c r="CV197" s="43" t="s">
        <v>96</v>
      </c>
      <c r="CW197" s="43"/>
      <c r="CX197" s="43"/>
      <c r="CY197" s="43" t="s">
        <v>106</v>
      </c>
      <c r="CZ197" s="43" t="s">
        <v>198</v>
      </c>
      <c r="DA197" s="43" t="s">
        <v>107</v>
      </c>
      <c r="DB197" s="43"/>
      <c r="DC197" s="43"/>
      <c r="DD197" s="43"/>
      <c r="DE197" s="43"/>
      <c r="DF197" s="43"/>
    </row>
    <row r="198" spans="1:110" ht="14">
      <c r="A198" s="27" t="s">
        <v>965</v>
      </c>
      <c r="B198" s="47" t="s">
        <v>1712</v>
      </c>
      <c r="C198" s="27" t="s">
        <v>966</v>
      </c>
      <c r="D198" s="27" t="s">
        <v>1650</v>
      </c>
      <c r="E198" s="27" t="s">
        <v>1650</v>
      </c>
      <c r="F198" s="39">
        <v>518228029</v>
      </c>
      <c r="G198" s="39">
        <v>105711</v>
      </c>
      <c r="H198" s="40">
        <v>2021</v>
      </c>
      <c r="I198" s="39">
        <v>9476</v>
      </c>
      <c r="J198" s="27" t="s">
        <v>94</v>
      </c>
      <c r="K198" s="41">
        <v>0.24559075058997112</v>
      </c>
      <c r="L198" s="39">
        <v>9232.137376569548</v>
      </c>
      <c r="M198" s="39">
        <v>105268</v>
      </c>
      <c r="N198" s="41">
        <v>0.24027745429850147</v>
      </c>
      <c r="O198" s="39">
        <v>9304.2628222685726</v>
      </c>
      <c r="P198" s="39">
        <v>102154</v>
      </c>
      <c r="Q198" s="41">
        <v>0.24953629833304516</v>
      </c>
      <c r="R198" s="39">
        <v>11231.892393956643</v>
      </c>
      <c r="S198" s="39">
        <v>102455</v>
      </c>
      <c r="T198" s="41">
        <v>0.30034949908397185</v>
      </c>
      <c r="U198" s="39">
        <v>14550.552536338535</v>
      </c>
      <c r="V198" s="39">
        <v>105077</v>
      </c>
      <c r="W198" s="41">
        <v>0.37938395173841949</v>
      </c>
      <c r="X198" s="42">
        <v>0.39979999999999999</v>
      </c>
      <c r="Y198" s="42">
        <v>3.2899999999999999E-2</v>
      </c>
      <c r="Z198" s="42">
        <v>5.4399999999999997E-2</v>
      </c>
      <c r="AA198" s="42">
        <v>0.20399999999999999</v>
      </c>
      <c r="AB198" s="42">
        <v>0.105</v>
      </c>
      <c r="AC198" s="42"/>
      <c r="AD198" s="42"/>
      <c r="AE198" s="42"/>
      <c r="AF198" s="42"/>
      <c r="AG198" s="42"/>
      <c r="AH198" s="42"/>
      <c r="AI198" s="42">
        <v>0.113</v>
      </c>
      <c r="AJ198" s="42">
        <v>9.2100000000000001E-2</v>
      </c>
      <c r="AK198" s="39">
        <v>1590</v>
      </c>
      <c r="AL198" s="39"/>
      <c r="AM198" s="39"/>
      <c r="AN198" s="39">
        <v>424.07</v>
      </c>
      <c r="AO198" s="39"/>
      <c r="AP198" s="39"/>
      <c r="AQ198" s="39"/>
      <c r="AR198" s="39"/>
      <c r="AS198" s="42"/>
      <c r="AT198" s="42"/>
      <c r="AU198" s="42"/>
      <c r="AV198" s="42"/>
      <c r="AW198" s="42"/>
      <c r="AX198" s="42">
        <v>0.93200000000000005</v>
      </c>
      <c r="AY198" s="42">
        <v>0.71</v>
      </c>
      <c r="AZ198" s="42">
        <v>0.90539999999999998</v>
      </c>
      <c r="BA198" s="42"/>
      <c r="BB198" s="42">
        <v>1</v>
      </c>
      <c r="BC198" s="42"/>
      <c r="BD198" s="42"/>
      <c r="BE198" s="42"/>
      <c r="BF198" s="42">
        <v>0.32200000000000001</v>
      </c>
      <c r="BG198" s="42"/>
      <c r="BH198" s="42"/>
      <c r="BI198" s="42"/>
      <c r="BJ198" s="42">
        <v>9.0999999999999998E-2</v>
      </c>
      <c r="BK198" s="42"/>
      <c r="BL198" s="42"/>
      <c r="BM198" s="42"/>
      <c r="BN198" s="42"/>
      <c r="BO198" s="42">
        <v>9.4600000000000004E-2</v>
      </c>
      <c r="BP198" s="42">
        <v>0.4924</v>
      </c>
      <c r="BQ198" s="42"/>
      <c r="BR198" s="42"/>
      <c r="BS198" s="42"/>
      <c r="BT198" s="42"/>
      <c r="BU198" s="42"/>
      <c r="BV198" s="42"/>
      <c r="BW198" s="39"/>
      <c r="BX198" s="39"/>
      <c r="BY198" s="39"/>
      <c r="BZ198" s="39"/>
      <c r="CA198" s="39"/>
      <c r="CB198" s="27" t="s">
        <v>95</v>
      </c>
      <c r="CC198" s="27" t="s">
        <v>96</v>
      </c>
      <c r="CD198" s="27" t="s">
        <v>96</v>
      </c>
      <c r="CE198" s="27" t="s">
        <v>967</v>
      </c>
      <c r="CF198" s="27" t="s">
        <v>96</v>
      </c>
      <c r="CG198" s="27" t="s">
        <v>96</v>
      </c>
      <c r="CH198" s="27" t="s">
        <v>968</v>
      </c>
      <c r="CI198" s="27" t="s">
        <v>969</v>
      </c>
      <c r="CJ198" s="27" t="s">
        <v>970</v>
      </c>
      <c r="CK198" s="27"/>
      <c r="CL198" s="27" t="s">
        <v>96</v>
      </c>
      <c r="CM198" s="27" t="s">
        <v>971</v>
      </c>
      <c r="CN198" s="27" t="s">
        <v>95</v>
      </c>
      <c r="CO198" s="27"/>
      <c r="CP198" s="27"/>
      <c r="CQ198" s="27"/>
      <c r="CR198" s="43" t="s">
        <v>96</v>
      </c>
      <c r="CS198" s="43" t="s">
        <v>96</v>
      </c>
      <c r="CT198" s="43" t="s">
        <v>96</v>
      </c>
      <c r="CU198" s="43"/>
      <c r="CV198" s="43"/>
      <c r="CW198" s="43"/>
      <c r="CX198" s="43"/>
      <c r="CY198" s="43" t="s">
        <v>106</v>
      </c>
      <c r="CZ198" s="43" t="s">
        <v>198</v>
      </c>
      <c r="DA198" s="43" t="s">
        <v>1471</v>
      </c>
      <c r="DB198" s="43"/>
      <c r="DC198" s="43"/>
      <c r="DD198" s="43"/>
      <c r="DE198" s="43"/>
      <c r="DF198" s="43"/>
    </row>
    <row r="199" spans="1:110" ht="14">
      <c r="A199" s="27" t="s">
        <v>972</v>
      </c>
      <c r="B199" s="27" t="s">
        <v>1714</v>
      </c>
      <c r="C199" s="27" t="s">
        <v>973</v>
      </c>
      <c r="D199" s="27" t="s">
        <v>122</v>
      </c>
      <c r="E199" s="27" t="s">
        <v>122</v>
      </c>
      <c r="F199" s="39">
        <v>24177305760</v>
      </c>
      <c r="G199" s="39">
        <v>1483702</v>
      </c>
      <c r="H199" s="40">
        <v>2021</v>
      </c>
      <c r="I199" s="39">
        <v>780000</v>
      </c>
      <c r="J199" s="27" t="s">
        <v>102</v>
      </c>
      <c r="K199" s="41">
        <v>1.4403069493536187</v>
      </c>
      <c r="L199" s="39">
        <v>788197.82368428109</v>
      </c>
      <c r="M199" s="39">
        <v>1491733</v>
      </c>
      <c r="N199" s="41">
        <v>1.4476089838367199</v>
      </c>
      <c r="O199" s="39">
        <v>840054.8577693213</v>
      </c>
      <c r="P199" s="39">
        <v>1513134</v>
      </c>
      <c r="Q199" s="41">
        <v>1.5210286453626138</v>
      </c>
      <c r="R199" s="39">
        <v>871640.70282890985</v>
      </c>
      <c r="S199" s="39">
        <v>1475884</v>
      </c>
      <c r="T199" s="41">
        <v>1.6180517710600599</v>
      </c>
      <c r="U199" s="39">
        <v>883199.70452640136</v>
      </c>
      <c r="V199" s="39">
        <v>1404040</v>
      </c>
      <c r="W199" s="41">
        <v>1.7234019101169138</v>
      </c>
      <c r="X199" s="42">
        <v>0.20599999999999999</v>
      </c>
      <c r="Y199" s="42">
        <v>2.0500000000000001E-2</v>
      </c>
      <c r="Z199" s="42">
        <v>2.2499999999999999E-2</v>
      </c>
      <c r="AA199" s="42">
        <v>0.17960000000000001</v>
      </c>
      <c r="AB199" s="42">
        <v>0.12839999999999999</v>
      </c>
      <c r="AC199" s="42"/>
      <c r="AD199" s="42"/>
      <c r="AE199" s="42">
        <v>0.1181</v>
      </c>
      <c r="AF199" s="42">
        <v>0.1137</v>
      </c>
      <c r="AG199" s="42"/>
      <c r="AH199" s="42">
        <v>6.6E-3</v>
      </c>
      <c r="AI199" s="42"/>
      <c r="AJ199" s="42">
        <v>0.20469999999999999</v>
      </c>
      <c r="AK199" s="39"/>
      <c r="AL199" s="39"/>
      <c r="AM199" s="39"/>
      <c r="AN199" s="39">
        <v>24000</v>
      </c>
      <c r="AO199" s="39"/>
      <c r="AP199" s="39"/>
      <c r="AQ199" s="39"/>
      <c r="AR199" s="39"/>
      <c r="AS199" s="42"/>
      <c r="AT199" s="42"/>
      <c r="AU199" s="42"/>
      <c r="AV199" s="42"/>
      <c r="AW199" s="42"/>
      <c r="AX199" s="42"/>
      <c r="AY199" s="42"/>
      <c r="AZ199" s="42">
        <v>0.95030000000000003</v>
      </c>
      <c r="BA199" s="42"/>
      <c r="BB199" s="42"/>
      <c r="BC199" s="42"/>
      <c r="BD199" s="42"/>
      <c r="BE199" s="42"/>
      <c r="BF199" s="42"/>
      <c r="BG199" s="42"/>
      <c r="BH199" s="42"/>
      <c r="BI199" s="42"/>
      <c r="BJ199" s="42"/>
      <c r="BK199" s="42"/>
      <c r="BL199" s="42"/>
      <c r="BM199" s="42"/>
      <c r="BN199" s="42"/>
      <c r="BO199" s="42"/>
      <c r="BP199" s="42"/>
      <c r="BQ199" s="42"/>
      <c r="BR199" s="42"/>
      <c r="BS199" s="42"/>
      <c r="BT199" s="42"/>
      <c r="BU199" s="42"/>
      <c r="BV199" s="42"/>
      <c r="BW199" s="39"/>
      <c r="BX199" s="39"/>
      <c r="BY199" s="39"/>
      <c r="BZ199" s="39"/>
      <c r="CA199" s="39"/>
      <c r="CB199" s="27" t="s">
        <v>95</v>
      </c>
      <c r="CC199" s="27" t="s">
        <v>96</v>
      </c>
      <c r="CD199" s="27" t="s">
        <v>96</v>
      </c>
      <c r="CE199" s="27" t="s">
        <v>974</v>
      </c>
      <c r="CF199" s="27" t="s">
        <v>96</v>
      </c>
      <c r="CG199" s="27" t="s">
        <v>96</v>
      </c>
      <c r="CH199" s="27" t="s">
        <v>95</v>
      </c>
      <c r="CI199" s="27" t="s">
        <v>975</v>
      </c>
      <c r="CJ199" s="27" t="s">
        <v>976</v>
      </c>
      <c r="CK199" s="27"/>
      <c r="CL199" s="27"/>
      <c r="CM199" s="27"/>
      <c r="CN199" s="27" t="s">
        <v>95</v>
      </c>
      <c r="CO199" s="27"/>
      <c r="CP199" s="27" t="s">
        <v>95</v>
      </c>
      <c r="CQ199" s="27"/>
      <c r="CR199" s="43" t="s">
        <v>96</v>
      </c>
      <c r="CS199" s="43"/>
      <c r="CT199" s="43"/>
      <c r="CU199" s="43"/>
      <c r="CV199" s="43"/>
      <c r="CW199" s="43"/>
      <c r="CX199" s="43" t="s">
        <v>96</v>
      </c>
      <c r="CY199" s="43" t="s">
        <v>106</v>
      </c>
      <c r="CZ199" s="43" t="s">
        <v>198</v>
      </c>
      <c r="DA199" s="43" t="s">
        <v>1471</v>
      </c>
      <c r="DB199" s="43" t="s">
        <v>96</v>
      </c>
      <c r="DC199" s="43" t="s">
        <v>168</v>
      </c>
      <c r="DD199" s="43" t="s">
        <v>1069</v>
      </c>
      <c r="DE199" s="43" t="s">
        <v>148</v>
      </c>
      <c r="DF199" s="43" t="s">
        <v>1471</v>
      </c>
    </row>
    <row r="200" spans="1:110" ht="14">
      <c r="A200" s="27" t="s">
        <v>977</v>
      </c>
      <c r="B200" t="s">
        <v>1715</v>
      </c>
      <c r="C200" s="27" t="s">
        <v>978</v>
      </c>
      <c r="D200" s="27" t="s">
        <v>1651</v>
      </c>
      <c r="E200" s="27" t="s">
        <v>1651</v>
      </c>
      <c r="F200" s="39">
        <v>42491780918</v>
      </c>
      <c r="G200" s="39">
        <v>11928934</v>
      </c>
      <c r="H200" s="40">
        <v>2020</v>
      </c>
      <c r="I200" s="39">
        <v>2810000</v>
      </c>
      <c r="J200" s="27" t="s">
        <v>94</v>
      </c>
      <c r="K200" s="41">
        <v>0.6453745269264044</v>
      </c>
      <c r="L200" s="39">
        <v>2949292.6084999829</v>
      </c>
      <c r="M200" s="39">
        <v>12078065</v>
      </c>
      <c r="N200" s="41">
        <v>0.66900233786767682</v>
      </c>
      <c r="O200" s="39">
        <v>3306142.1653118962</v>
      </c>
      <c r="P200" s="39">
        <v>12606538</v>
      </c>
      <c r="Q200" s="41">
        <v>0.71851000969342549</v>
      </c>
      <c r="R200" s="39">
        <v>3911115.0238057459</v>
      </c>
      <c r="S200" s="39">
        <v>12940746</v>
      </c>
      <c r="T200" s="41">
        <v>0.82803446005856673</v>
      </c>
      <c r="U200" s="39">
        <v>4557844.3887692532</v>
      </c>
      <c r="V200" s="39">
        <v>13142428</v>
      </c>
      <c r="W200" s="41">
        <v>0.95014748421963424</v>
      </c>
      <c r="X200" s="42">
        <v>0.63200000000000001</v>
      </c>
      <c r="Y200" s="42">
        <v>1.0999999999999999E-2</v>
      </c>
      <c r="Z200" s="42">
        <v>1.6E-2</v>
      </c>
      <c r="AA200" s="42">
        <v>8.5999999999999993E-2</v>
      </c>
      <c r="AB200" s="42">
        <v>9.4E-2</v>
      </c>
      <c r="AC200" s="42"/>
      <c r="AD200" s="42"/>
      <c r="AE200" s="42"/>
      <c r="AF200" s="42">
        <v>8.6999999999999994E-2</v>
      </c>
      <c r="AG200" s="42"/>
      <c r="AH200" s="42"/>
      <c r="AI200" s="42"/>
      <c r="AJ200" s="42">
        <v>7.3999999999999996E-2</v>
      </c>
      <c r="AK200" s="39"/>
      <c r="AL200" s="39">
        <v>4033000</v>
      </c>
      <c r="AM200" s="39"/>
      <c r="AN200" s="39">
        <v>85000</v>
      </c>
      <c r="AO200" s="39">
        <v>150000</v>
      </c>
      <c r="AP200" s="39">
        <v>116000</v>
      </c>
      <c r="AQ200" s="39"/>
      <c r="AR200" s="39">
        <v>16000</v>
      </c>
      <c r="AS200" s="42"/>
      <c r="AT200" s="42"/>
      <c r="AU200" s="42"/>
      <c r="AV200" s="42"/>
      <c r="AW200" s="42">
        <v>0.05</v>
      </c>
      <c r="AX200" s="42"/>
      <c r="AY200" s="42"/>
      <c r="AZ200" s="42">
        <v>0.8</v>
      </c>
      <c r="BA200" s="42"/>
      <c r="BB200" s="42"/>
      <c r="BC200" s="42">
        <v>0.8</v>
      </c>
      <c r="BD200" s="42">
        <v>0.21</v>
      </c>
      <c r="BE200" s="42"/>
      <c r="BF200" s="42"/>
      <c r="BG200" s="42">
        <v>0.7</v>
      </c>
      <c r="BH200" s="42"/>
      <c r="BI200" s="42">
        <v>0.05</v>
      </c>
      <c r="BJ200" s="42">
        <v>0.04</v>
      </c>
      <c r="BK200" s="42"/>
      <c r="BL200" s="42"/>
      <c r="BM200" s="42"/>
      <c r="BN200" s="42"/>
      <c r="BO200" s="42"/>
      <c r="BP200" s="42"/>
      <c r="BQ200" s="42"/>
      <c r="BR200" s="42"/>
      <c r="BS200" s="42"/>
      <c r="BT200" s="42"/>
      <c r="BU200" s="42"/>
      <c r="BV200" s="42"/>
      <c r="BW200" s="39"/>
      <c r="BX200" s="39"/>
      <c r="BY200" s="39"/>
      <c r="BZ200" s="39"/>
      <c r="CA200" s="39"/>
      <c r="CB200" s="27" t="s">
        <v>95</v>
      </c>
      <c r="CC200" s="27" t="s">
        <v>96</v>
      </c>
      <c r="CD200" s="27" t="s">
        <v>96</v>
      </c>
      <c r="CE200" s="27" t="s">
        <v>979</v>
      </c>
      <c r="CF200" s="27" t="s">
        <v>96</v>
      </c>
      <c r="CG200" s="27" t="s">
        <v>96</v>
      </c>
      <c r="CH200" s="27" t="s">
        <v>95</v>
      </c>
      <c r="CI200" s="27" t="s">
        <v>980</v>
      </c>
      <c r="CJ200" s="27" t="s">
        <v>1623</v>
      </c>
      <c r="CK200" s="27"/>
      <c r="CL200" s="27" t="s">
        <v>96</v>
      </c>
      <c r="CM200" s="27" t="s">
        <v>981</v>
      </c>
      <c r="CN200" s="27" t="s">
        <v>96</v>
      </c>
      <c r="CO200" s="27"/>
      <c r="CP200" s="27"/>
      <c r="CQ200" s="27"/>
      <c r="CR200" s="43" t="s">
        <v>96</v>
      </c>
      <c r="CS200" s="43" t="s">
        <v>96</v>
      </c>
      <c r="CT200" s="43"/>
      <c r="CU200" s="43"/>
      <c r="CV200" s="43" t="s">
        <v>96</v>
      </c>
      <c r="CW200" s="43" t="s">
        <v>96</v>
      </c>
      <c r="CX200" s="43" t="s">
        <v>96</v>
      </c>
      <c r="CY200" s="43" t="s">
        <v>1721</v>
      </c>
      <c r="CZ200" s="43" t="s">
        <v>109</v>
      </c>
      <c r="DA200" s="43" t="s">
        <v>1470</v>
      </c>
      <c r="DB200" s="43"/>
      <c r="DC200" s="43"/>
      <c r="DD200" s="43"/>
      <c r="DE200" s="43"/>
      <c r="DF200" s="43"/>
    </row>
    <row r="201" spans="1:110" ht="14">
      <c r="A201" s="27" t="s">
        <v>982</v>
      </c>
      <c r="B201" s="27" t="s">
        <v>1713</v>
      </c>
      <c r="C201" s="27" t="s">
        <v>983</v>
      </c>
      <c r="D201" s="27" t="s">
        <v>1650</v>
      </c>
      <c r="E201" s="27" t="s">
        <v>1650</v>
      </c>
      <c r="F201" s="39">
        <v>907118434654</v>
      </c>
      <c r="G201" s="39">
        <v>86947617</v>
      </c>
      <c r="H201" s="40">
        <v>2022</v>
      </c>
      <c r="I201" s="39">
        <v>30283757</v>
      </c>
      <c r="J201" s="27" t="s">
        <v>194</v>
      </c>
      <c r="K201" s="41">
        <v>0.95424348732034803</v>
      </c>
      <c r="L201" s="39">
        <v>30283757</v>
      </c>
      <c r="M201" s="39">
        <v>86947617</v>
      </c>
      <c r="N201" s="41">
        <v>0.95424348732034803</v>
      </c>
      <c r="O201" s="39">
        <v>34435115.909396358</v>
      </c>
      <c r="P201" s="39">
        <v>88889748</v>
      </c>
      <c r="Q201" s="41">
        <v>1.0613460543662996</v>
      </c>
      <c r="R201" s="39">
        <v>38020274.449148253</v>
      </c>
      <c r="S201" s="39">
        <v>90950741</v>
      </c>
      <c r="T201" s="41">
        <v>1.1452917736769017</v>
      </c>
      <c r="U201" s="39">
        <v>40030988.555762507</v>
      </c>
      <c r="V201" s="39">
        <v>91311298</v>
      </c>
      <c r="W201" s="41">
        <v>1.2010993562775156</v>
      </c>
      <c r="X201" s="42">
        <v>0.5554</v>
      </c>
      <c r="Y201" s="42">
        <v>3.3799999999999997E-2</v>
      </c>
      <c r="Z201" s="42">
        <v>1.37E-2</v>
      </c>
      <c r="AA201" s="42">
        <v>8.1100000000000005E-2</v>
      </c>
      <c r="AB201" s="42">
        <v>5.8599999999999999E-2</v>
      </c>
      <c r="AC201" s="42"/>
      <c r="AD201" s="42"/>
      <c r="AE201" s="42"/>
      <c r="AF201" s="42"/>
      <c r="AG201" s="42"/>
      <c r="AH201" s="42">
        <v>4.3E-3</v>
      </c>
      <c r="AI201" s="42"/>
      <c r="AJ201" s="42">
        <v>0.25309999999999999</v>
      </c>
      <c r="AK201" s="39">
        <v>4318000</v>
      </c>
      <c r="AL201" s="39"/>
      <c r="AM201" s="39"/>
      <c r="AN201" s="39">
        <v>1077000</v>
      </c>
      <c r="AO201" s="39">
        <v>29372544</v>
      </c>
      <c r="AP201" s="39">
        <v>27969021.306844998</v>
      </c>
      <c r="AQ201" s="39">
        <v>860563173</v>
      </c>
      <c r="AR201" s="39">
        <v>109683</v>
      </c>
      <c r="AS201" s="42"/>
      <c r="AT201" s="42"/>
      <c r="AU201" s="42"/>
      <c r="AV201" s="42"/>
      <c r="AW201" s="42"/>
      <c r="AX201" s="42"/>
      <c r="AY201" s="42">
        <v>0.99399999999999999</v>
      </c>
      <c r="AZ201" s="42"/>
      <c r="BA201" s="42"/>
      <c r="BB201" s="42"/>
      <c r="BC201" s="42"/>
      <c r="BD201" s="42"/>
      <c r="BE201" s="42"/>
      <c r="BF201" s="42"/>
      <c r="BG201" s="42">
        <v>0.81145598355272597</v>
      </c>
      <c r="BH201" s="42"/>
      <c r="BI201" s="42">
        <v>3.3979612232660399E-3</v>
      </c>
      <c r="BJ201" s="42">
        <v>0.11989948887810201</v>
      </c>
      <c r="BK201" s="42"/>
      <c r="BL201" s="42"/>
      <c r="BM201" s="42"/>
      <c r="BN201" s="42"/>
      <c r="BO201" s="42"/>
      <c r="BP201" s="42">
        <v>6.5246566345906698E-2</v>
      </c>
      <c r="BQ201" s="42"/>
      <c r="BR201" s="42"/>
      <c r="BS201" s="42"/>
      <c r="BT201" s="42"/>
      <c r="BU201" s="42"/>
      <c r="BV201" s="42"/>
      <c r="BW201" s="39"/>
      <c r="BX201" s="39"/>
      <c r="BY201" s="39"/>
      <c r="BZ201" s="39"/>
      <c r="CA201" s="39"/>
      <c r="CB201" s="27" t="s">
        <v>96</v>
      </c>
      <c r="CC201" s="27" t="s">
        <v>96</v>
      </c>
      <c r="CD201" s="27" t="s">
        <v>96</v>
      </c>
      <c r="CE201" s="27" t="s">
        <v>984</v>
      </c>
      <c r="CF201" s="27" t="s">
        <v>96</v>
      </c>
      <c r="CG201" s="27" t="s">
        <v>96</v>
      </c>
      <c r="CH201" s="27" t="s">
        <v>96</v>
      </c>
      <c r="CI201" s="27" t="s">
        <v>985</v>
      </c>
      <c r="CJ201" s="27" t="s">
        <v>1621</v>
      </c>
      <c r="CK201" s="27"/>
      <c r="CL201" s="27" t="s">
        <v>96</v>
      </c>
      <c r="CM201" s="27" t="s">
        <v>986</v>
      </c>
      <c r="CN201" s="27" t="s">
        <v>96</v>
      </c>
      <c r="CO201" s="27"/>
      <c r="CP201" s="27" t="s">
        <v>96</v>
      </c>
      <c r="CQ201" s="27"/>
      <c r="CR201" s="43" t="s">
        <v>96</v>
      </c>
      <c r="CS201" s="43" t="s">
        <v>96</v>
      </c>
      <c r="CT201" s="43"/>
      <c r="CU201" s="43"/>
      <c r="CV201" s="43" t="s">
        <v>96</v>
      </c>
      <c r="CW201" s="43" t="s">
        <v>96</v>
      </c>
      <c r="CX201" s="43" t="s">
        <v>96</v>
      </c>
      <c r="CY201" s="43" t="s">
        <v>1723</v>
      </c>
      <c r="CZ201" s="43" t="s">
        <v>109</v>
      </c>
      <c r="DA201" s="43" t="s">
        <v>1470</v>
      </c>
      <c r="DB201" s="43" t="s">
        <v>96</v>
      </c>
      <c r="DC201" s="43" t="s">
        <v>168</v>
      </c>
      <c r="DD201" s="43" t="s">
        <v>1472</v>
      </c>
      <c r="DE201" s="43" t="s">
        <v>109</v>
      </c>
      <c r="DF201" s="43" t="s">
        <v>197</v>
      </c>
    </row>
    <row r="202" spans="1:110" ht="14">
      <c r="A202" s="27" t="s">
        <v>987</v>
      </c>
      <c r="B202" s="27" t="s">
        <v>1713</v>
      </c>
      <c r="C202" s="27" t="s">
        <v>988</v>
      </c>
      <c r="D202" s="27" t="s">
        <v>1650</v>
      </c>
      <c r="E202" s="27" t="s">
        <v>1650</v>
      </c>
      <c r="F202" s="39">
        <v>37926285714.290001</v>
      </c>
      <c r="G202" s="39">
        <v>6433013</v>
      </c>
      <c r="H202" s="40">
        <v>2017</v>
      </c>
      <c r="I202" s="39">
        <v>750000</v>
      </c>
      <c r="J202" s="27" t="s">
        <v>94</v>
      </c>
      <c r="K202" s="41">
        <v>0.31941401650330026</v>
      </c>
      <c r="L202" s="39">
        <v>860065.03367861977</v>
      </c>
      <c r="M202" s="39">
        <v>7162213</v>
      </c>
      <c r="N202" s="41">
        <v>0.32899643699839926</v>
      </c>
      <c r="O202" s="39">
        <v>1003103.2368024377</v>
      </c>
      <c r="P202" s="39">
        <v>8093539</v>
      </c>
      <c r="Q202" s="41">
        <v>0.3395582632065004</v>
      </c>
      <c r="R202" s="39">
        <v>1229613.4704423316</v>
      </c>
      <c r="S202" s="39">
        <v>8893128</v>
      </c>
      <c r="T202" s="41">
        <v>0.378809798825467</v>
      </c>
      <c r="U202" s="39">
        <v>1441782.2979610059</v>
      </c>
      <c r="V202" s="39">
        <v>9611198</v>
      </c>
      <c r="W202" s="41">
        <v>0.41098815023521518</v>
      </c>
      <c r="X202" s="42">
        <v>0.1618</v>
      </c>
      <c r="Y202" s="42">
        <v>4.6399999999999997E-2</v>
      </c>
      <c r="Z202" s="42">
        <v>0.1144</v>
      </c>
      <c r="AA202" s="42"/>
      <c r="AB202" s="42">
        <v>2.1899999999999999E-2</v>
      </c>
      <c r="AC202" s="42"/>
      <c r="AD202" s="42">
        <v>3.0099999999999998E-2</v>
      </c>
      <c r="AE202" s="42"/>
      <c r="AF202" s="42">
        <v>2.0899999999999998E-2</v>
      </c>
      <c r="AG202" s="42"/>
      <c r="AH202" s="42"/>
      <c r="AI202" s="42"/>
      <c r="AJ202" s="42">
        <v>0.60450000000000004</v>
      </c>
      <c r="AK202" s="39"/>
      <c r="AL202" s="39"/>
      <c r="AM202" s="39"/>
      <c r="AN202" s="39">
        <v>46000</v>
      </c>
      <c r="AO202" s="39">
        <v>1000</v>
      </c>
      <c r="AP202" s="39">
        <v>32300</v>
      </c>
      <c r="AQ202" s="39"/>
      <c r="AR202" s="39"/>
      <c r="AS202" s="42"/>
      <c r="AT202" s="42"/>
      <c r="AU202" s="42"/>
      <c r="AV202" s="42"/>
      <c r="AW202" s="42"/>
      <c r="AX202" s="42"/>
      <c r="AY202" s="42"/>
      <c r="AZ202" s="42">
        <v>0.5</v>
      </c>
      <c r="BA202" s="42"/>
      <c r="BB202" s="42"/>
      <c r="BC202" s="42"/>
      <c r="BD202" s="42">
        <v>0.99</v>
      </c>
      <c r="BE202" s="42"/>
      <c r="BF202" s="42"/>
      <c r="BG202" s="42"/>
      <c r="BH202" s="42"/>
      <c r="BI202" s="42"/>
      <c r="BJ202" s="42">
        <v>0.01</v>
      </c>
      <c r="BK202" s="42"/>
      <c r="BL202" s="42"/>
      <c r="BM202" s="42"/>
      <c r="BN202" s="42"/>
      <c r="BO202" s="42"/>
      <c r="BP202" s="42"/>
      <c r="BQ202" s="42"/>
      <c r="BR202" s="42"/>
      <c r="BS202" s="42"/>
      <c r="BT202" s="42"/>
      <c r="BU202" s="42"/>
      <c r="BV202" s="42"/>
      <c r="BW202" s="39"/>
      <c r="BX202" s="39"/>
      <c r="BY202" s="39"/>
      <c r="BZ202" s="39"/>
      <c r="CA202" s="39"/>
      <c r="CB202" s="27" t="s">
        <v>95</v>
      </c>
      <c r="CC202" s="27" t="s">
        <v>96</v>
      </c>
      <c r="CD202" s="27" t="s">
        <v>96</v>
      </c>
      <c r="CE202" s="27" t="s">
        <v>989</v>
      </c>
      <c r="CF202" s="27" t="s">
        <v>96</v>
      </c>
      <c r="CG202" s="27" t="s">
        <v>96</v>
      </c>
      <c r="CH202" s="27" t="s">
        <v>95</v>
      </c>
      <c r="CI202" s="27"/>
      <c r="CJ202" s="27" t="s">
        <v>123</v>
      </c>
      <c r="CK202" s="27"/>
      <c r="CL202" s="27" t="s">
        <v>95</v>
      </c>
      <c r="CM202" s="27"/>
      <c r="CN202" s="27" t="s">
        <v>95</v>
      </c>
      <c r="CO202" s="27"/>
      <c r="CP202" s="27" t="s">
        <v>95</v>
      </c>
      <c r="CQ202" s="27"/>
      <c r="CR202" s="43"/>
      <c r="CS202" s="43"/>
      <c r="CT202" s="43"/>
      <c r="CU202" s="43"/>
      <c r="CV202" s="43"/>
      <c r="CW202" s="43"/>
      <c r="CX202" s="43"/>
      <c r="CY202" s="43"/>
      <c r="CZ202" s="43"/>
      <c r="DA202" s="43"/>
      <c r="DB202" s="43"/>
      <c r="DC202" s="43"/>
      <c r="DD202" s="43"/>
      <c r="DE202" s="43"/>
      <c r="DF202" s="43"/>
    </row>
    <row r="203" spans="1:110" ht="14">
      <c r="A203" s="27" t="s">
        <v>990</v>
      </c>
      <c r="B203" s="27" t="s">
        <v>1714</v>
      </c>
      <c r="C203" s="27" t="s">
        <v>991</v>
      </c>
      <c r="D203" s="27"/>
      <c r="E203" s="27" t="s">
        <v>122</v>
      </c>
      <c r="F203" s="44"/>
      <c r="G203" s="39">
        <v>45669</v>
      </c>
      <c r="H203" s="40" t="s">
        <v>123</v>
      </c>
      <c r="I203" s="39" t="s">
        <v>1620</v>
      </c>
      <c r="J203" s="27"/>
      <c r="K203" s="39" t="s">
        <v>1620</v>
      </c>
      <c r="L203" s="39">
        <v>17804.204031711382</v>
      </c>
      <c r="M203" s="39">
        <v>45669</v>
      </c>
      <c r="N203" s="41">
        <v>1.068090853374738</v>
      </c>
      <c r="O203" s="39">
        <v>17298.24768027895</v>
      </c>
      <c r="P203" s="39">
        <v>48126</v>
      </c>
      <c r="Q203" s="41">
        <v>0.98475791459968653</v>
      </c>
      <c r="R203" s="39">
        <v>15213.846349790801</v>
      </c>
      <c r="S203" s="39">
        <v>50368</v>
      </c>
      <c r="T203" s="41">
        <v>0.82754468752669674</v>
      </c>
      <c r="U203" s="39">
        <v>11579.827415642269</v>
      </c>
      <c r="V203" s="39">
        <v>51001</v>
      </c>
      <c r="W203" s="41">
        <v>0.62205750011575212</v>
      </c>
      <c r="X203" s="42">
        <v>0.2177</v>
      </c>
      <c r="Y203" s="42">
        <v>0.2054</v>
      </c>
      <c r="Z203" s="42">
        <v>7.5999999999999998E-2</v>
      </c>
      <c r="AA203" s="42">
        <v>0.315</v>
      </c>
      <c r="AB203" s="42">
        <v>0.16250000000000001</v>
      </c>
      <c r="AC203" s="42"/>
      <c r="AD203" s="42"/>
      <c r="AE203" s="42"/>
      <c r="AF203" s="42"/>
      <c r="AG203" s="42"/>
      <c r="AH203" s="42"/>
      <c r="AI203" s="42"/>
      <c r="AJ203" s="42">
        <v>1.8599999999999998E-2</v>
      </c>
      <c r="AK203" s="39"/>
      <c r="AL203" s="39"/>
      <c r="AM203" s="39"/>
      <c r="AN203" s="39"/>
      <c r="AO203" s="39"/>
      <c r="AP203" s="39"/>
      <c r="AQ203" s="39"/>
      <c r="AR203" s="39"/>
      <c r="AS203" s="42"/>
      <c r="AT203" s="42"/>
      <c r="AU203" s="42"/>
      <c r="AV203" s="42"/>
      <c r="AW203" s="42"/>
      <c r="AX203" s="42"/>
      <c r="AY203" s="42"/>
      <c r="AZ203" s="42"/>
      <c r="BA203" s="42"/>
      <c r="BB203" s="42"/>
      <c r="BC203" s="42"/>
      <c r="BD203" s="42"/>
      <c r="BE203" s="42"/>
      <c r="BF203" s="42"/>
      <c r="BG203" s="42"/>
      <c r="BH203" s="42"/>
      <c r="BI203" s="42"/>
      <c r="BJ203" s="42"/>
      <c r="BK203" s="42"/>
      <c r="BL203" s="42"/>
      <c r="BM203" s="42"/>
      <c r="BN203" s="42"/>
      <c r="BO203" s="42"/>
      <c r="BP203" s="42"/>
      <c r="BQ203" s="42"/>
      <c r="BR203" s="42"/>
      <c r="BS203" s="42"/>
      <c r="BT203" s="42"/>
      <c r="BU203" s="42"/>
      <c r="BV203" s="42"/>
      <c r="BW203" s="39"/>
      <c r="BX203" s="39"/>
      <c r="BY203" s="39"/>
      <c r="BZ203" s="39"/>
      <c r="CA203" s="39"/>
      <c r="CB203" s="27" t="s">
        <v>95</v>
      </c>
      <c r="CC203" s="27" t="s">
        <v>95</v>
      </c>
      <c r="CD203" s="27" t="s">
        <v>96</v>
      </c>
      <c r="CE203" s="27" t="s">
        <v>992</v>
      </c>
      <c r="CF203" s="27" t="s">
        <v>96</v>
      </c>
      <c r="CG203" s="27" t="s">
        <v>95</v>
      </c>
      <c r="CH203" s="27" t="s">
        <v>95</v>
      </c>
      <c r="CI203" s="27"/>
      <c r="CJ203" s="27" t="s">
        <v>123</v>
      </c>
      <c r="CK203" s="27"/>
      <c r="CL203" s="27"/>
      <c r="CM203" s="27"/>
      <c r="CN203" s="27" t="s">
        <v>95</v>
      </c>
      <c r="CO203" s="27"/>
      <c r="CP203" s="27" t="s">
        <v>96</v>
      </c>
      <c r="CQ203" s="27"/>
      <c r="CR203" s="43"/>
      <c r="CS203" s="43"/>
      <c r="CT203" s="43"/>
      <c r="CU203" s="43"/>
      <c r="CV203" s="43"/>
      <c r="CW203" s="43"/>
      <c r="CX203" s="43"/>
      <c r="CY203" s="43"/>
      <c r="CZ203" s="43"/>
      <c r="DA203" s="43"/>
      <c r="DB203" s="43" t="s">
        <v>96</v>
      </c>
      <c r="DC203" s="43" t="s">
        <v>168</v>
      </c>
      <c r="DD203" s="43" t="s">
        <v>1069</v>
      </c>
      <c r="DE203" s="43" t="s">
        <v>148</v>
      </c>
      <c r="DF203" s="43" t="s">
        <v>197</v>
      </c>
    </row>
    <row r="204" spans="1:110" ht="14">
      <c r="A204" s="27" t="s">
        <v>993</v>
      </c>
      <c r="B204" s="47" t="s">
        <v>1712</v>
      </c>
      <c r="C204" s="27" t="s">
        <v>994</v>
      </c>
      <c r="D204" s="27" t="s">
        <v>1650</v>
      </c>
      <c r="E204" s="27" t="s">
        <v>1650</v>
      </c>
      <c r="F204" s="39">
        <v>54129199</v>
      </c>
      <c r="G204" s="39">
        <v>10670</v>
      </c>
      <c r="H204" s="40">
        <v>2019</v>
      </c>
      <c r="I204" s="39">
        <v>1642.6</v>
      </c>
      <c r="J204" s="27" t="s">
        <v>102</v>
      </c>
      <c r="K204" s="41">
        <v>0.42176888215583319</v>
      </c>
      <c r="L204" s="39">
        <v>1488.4884112832274</v>
      </c>
      <c r="M204" s="39">
        <v>10080</v>
      </c>
      <c r="N204" s="41">
        <v>0.40456849621744606</v>
      </c>
      <c r="O204" s="39">
        <v>1389.7616275538248</v>
      </c>
      <c r="P204" s="39">
        <v>9073</v>
      </c>
      <c r="Q204" s="41">
        <v>0.41965899954669805</v>
      </c>
      <c r="R204" s="39">
        <v>1514.9922252223766</v>
      </c>
      <c r="S204" s="39">
        <v>9119</v>
      </c>
      <c r="T204" s="41">
        <v>0.4551665347895863</v>
      </c>
      <c r="U204" s="39">
        <v>1741.0018499883058</v>
      </c>
      <c r="V204" s="39">
        <v>9748</v>
      </c>
      <c r="W204" s="41">
        <v>0.48931761203936625</v>
      </c>
      <c r="X204" s="42">
        <v>0.42</v>
      </c>
      <c r="Y204" s="42">
        <v>7.1999999999999995E-2</v>
      </c>
      <c r="Z204" s="42">
        <v>0.12</v>
      </c>
      <c r="AA204" s="42">
        <v>0.10199999999999999</v>
      </c>
      <c r="AB204" s="42">
        <v>0.14599999999999999</v>
      </c>
      <c r="AC204" s="42"/>
      <c r="AD204" s="42"/>
      <c r="AE204" s="42"/>
      <c r="AF204" s="42"/>
      <c r="AG204" s="42">
        <v>1.7999999999999999E-2</v>
      </c>
      <c r="AH204" s="42">
        <v>2E-3</v>
      </c>
      <c r="AI204" s="42">
        <v>3.2000000000000001E-2</v>
      </c>
      <c r="AJ204" s="42">
        <v>8.7999999999999995E-2</v>
      </c>
      <c r="AK204" s="39"/>
      <c r="AL204" s="39"/>
      <c r="AM204" s="39"/>
      <c r="AN204" s="39">
        <v>26.294</v>
      </c>
      <c r="AO204" s="39"/>
      <c r="AP204" s="39"/>
      <c r="AQ204" s="39"/>
      <c r="AR204" s="39">
        <v>2.08</v>
      </c>
      <c r="AS204" s="42"/>
      <c r="AT204" s="42"/>
      <c r="AU204" s="42">
        <v>0.8</v>
      </c>
      <c r="AV204" s="42"/>
      <c r="AW204" s="42"/>
      <c r="AX204" s="42">
        <v>0.90359999999999996</v>
      </c>
      <c r="AY204" s="42">
        <v>0.47</v>
      </c>
      <c r="AZ204" s="42">
        <v>0.94689999999999996</v>
      </c>
      <c r="BA204" s="42">
        <v>1</v>
      </c>
      <c r="BB204" s="42">
        <v>1</v>
      </c>
      <c r="BC204" s="42"/>
      <c r="BD204" s="42">
        <v>0.354316327773043</v>
      </c>
      <c r="BE204" s="42"/>
      <c r="BF204" s="42"/>
      <c r="BG204" s="42"/>
      <c r="BH204" s="42"/>
      <c r="BI204" s="42"/>
      <c r="BJ204" s="42">
        <v>6.2705466942651902E-2</v>
      </c>
      <c r="BK204" s="42"/>
      <c r="BL204" s="42"/>
      <c r="BM204" s="42"/>
      <c r="BN204" s="42"/>
      <c r="BO204" s="42">
        <v>5.3100000000000001E-2</v>
      </c>
      <c r="BP204" s="42">
        <v>0.52987820528430496</v>
      </c>
      <c r="BQ204" s="42"/>
      <c r="BR204" s="42"/>
      <c r="BS204" s="42"/>
      <c r="BT204" s="42"/>
      <c r="BU204" s="42"/>
      <c r="BV204" s="42"/>
      <c r="BW204" s="39"/>
      <c r="BX204" s="39"/>
      <c r="BY204" s="39"/>
      <c r="BZ204" s="39"/>
      <c r="CA204" s="39"/>
      <c r="CB204" s="27" t="s">
        <v>96</v>
      </c>
      <c r="CC204" s="27" t="s">
        <v>96</v>
      </c>
      <c r="CD204" s="27" t="s">
        <v>96</v>
      </c>
      <c r="CE204" s="27" t="s">
        <v>995</v>
      </c>
      <c r="CF204" s="27" t="s">
        <v>96</v>
      </c>
      <c r="CG204" s="27" t="s">
        <v>96</v>
      </c>
      <c r="CH204" s="27" t="s">
        <v>96</v>
      </c>
      <c r="CI204" s="27"/>
      <c r="CJ204" s="27" t="s">
        <v>1624</v>
      </c>
      <c r="CK204" s="27"/>
      <c r="CL204" s="27" t="s">
        <v>96</v>
      </c>
      <c r="CM204" s="27" t="s">
        <v>996</v>
      </c>
      <c r="CN204" s="27"/>
      <c r="CO204" s="27"/>
      <c r="CP204" s="27" t="s">
        <v>96</v>
      </c>
      <c r="CQ204" s="27"/>
      <c r="CR204" s="43" t="s">
        <v>96</v>
      </c>
      <c r="CS204" s="43"/>
      <c r="CT204" s="43"/>
      <c r="CU204" s="43"/>
      <c r="CV204" s="43" t="s">
        <v>96</v>
      </c>
      <c r="CW204" s="43"/>
      <c r="CX204" s="43" t="s">
        <v>96</v>
      </c>
      <c r="CY204" s="43" t="s">
        <v>106</v>
      </c>
      <c r="CZ204" s="43" t="s">
        <v>109</v>
      </c>
      <c r="DA204" s="43" t="s">
        <v>1470</v>
      </c>
      <c r="DB204" s="43" t="s">
        <v>96</v>
      </c>
      <c r="DC204" s="43" t="s">
        <v>168</v>
      </c>
      <c r="DD204" s="43" t="s">
        <v>1472</v>
      </c>
      <c r="DE204" s="43" t="s">
        <v>109</v>
      </c>
      <c r="DF204" s="43" t="s">
        <v>1470</v>
      </c>
    </row>
    <row r="205" spans="1:110" ht="14">
      <c r="A205" s="27" t="s">
        <v>997</v>
      </c>
      <c r="B205" s="33" t="s">
        <v>1693</v>
      </c>
      <c r="C205" s="27" t="s">
        <v>998</v>
      </c>
      <c r="D205" s="27" t="s">
        <v>93</v>
      </c>
      <c r="E205" s="27" t="s">
        <v>93</v>
      </c>
      <c r="F205" s="39">
        <v>27871725241.470001</v>
      </c>
      <c r="G205" s="39">
        <v>46644329</v>
      </c>
      <c r="H205" s="40">
        <v>2022</v>
      </c>
      <c r="I205" s="39">
        <v>10554334</v>
      </c>
      <c r="J205" s="27"/>
      <c r="K205" s="41">
        <v>0.61992497677533542</v>
      </c>
      <c r="L205" s="39">
        <v>10554334.368789528</v>
      </c>
      <c r="M205" s="39">
        <v>46644329</v>
      </c>
      <c r="N205" s="41">
        <v>0.61992497677533542</v>
      </c>
      <c r="O205" s="39">
        <v>13428442.351160694</v>
      </c>
      <c r="P205" s="39">
        <v>57617766</v>
      </c>
      <c r="Q205" s="41">
        <v>0.6385227260785955</v>
      </c>
      <c r="R205" s="39">
        <v>17126698.364850439</v>
      </c>
      <c r="S205" s="39">
        <v>71345601</v>
      </c>
      <c r="T205" s="41">
        <v>0.65767840786095344</v>
      </c>
      <c r="U205" s="39">
        <v>25645598.271041617</v>
      </c>
      <c r="V205" s="39">
        <v>84783555</v>
      </c>
      <c r="W205" s="41">
        <v>0.82872100693757067</v>
      </c>
      <c r="X205" s="42">
        <v>0.73</v>
      </c>
      <c r="Y205" s="42">
        <v>8.9999999999999993E-3</v>
      </c>
      <c r="Z205" s="42">
        <v>3.1E-2</v>
      </c>
      <c r="AA205" s="42">
        <v>5.2999999999999999E-2</v>
      </c>
      <c r="AB205" s="42">
        <v>1.6E-2</v>
      </c>
      <c r="AC205" s="42"/>
      <c r="AD205" s="42">
        <v>1.7000000000000001E-2</v>
      </c>
      <c r="AE205" s="42">
        <v>0.08</v>
      </c>
      <c r="AF205" s="42"/>
      <c r="AG205" s="42"/>
      <c r="AH205" s="42"/>
      <c r="AI205" s="42"/>
      <c r="AJ205" s="42">
        <v>6.4000000000000001E-2</v>
      </c>
      <c r="AK205" s="39"/>
      <c r="AL205" s="39"/>
      <c r="AM205" s="39"/>
      <c r="AN205" s="39">
        <v>41000</v>
      </c>
      <c r="AO205" s="39">
        <v>7225.7</v>
      </c>
      <c r="AP205" s="39"/>
      <c r="AQ205" s="39"/>
      <c r="AR205" s="39">
        <v>765.2</v>
      </c>
      <c r="AS205" s="42"/>
      <c r="AT205" s="42"/>
      <c r="AU205" s="42"/>
      <c r="AV205" s="42"/>
      <c r="AW205" s="42"/>
      <c r="AX205" s="42"/>
      <c r="AY205" s="42"/>
      <c r="AZ205" s="42"/>
      <c r="BA205" s="42"/>
      <c r="BB205" s="42"/>
      <c r="BC205" s="42"/>
      <c r="BD205" s="42"/>
      <c r="BE205" s="42"/>
      <c r="BF205" s="42"/>
      <c r="BG205" s="42"/>
      <c r="BH205" s="42"/>
      <c r="BI205" s="42"/>
      <c r="BJ205" s="42"/>
      <c r="BK205" s="42"/>
      <c r="BL205" s="42"/>
      <c r="BM205" s="42"/>
      <c r="BN205" s="42"/>
      <c r="BO205" s="42"/>
      <c r="BP205" s="42"/>
      <c r="BQ205" s="42"/>
      <c r="BR205" s="42"/>
      <c r="BS205" s="42"/>
      <c r="BT205" s="42"/>
      <c r="BU205" s="42"/>
      <c r="BV205" s="42"/>
      <c r="BW205" s="39"/>
      <c r="BX205" s="39"/>
      <c r="BY205" s="39"/>
      <c r="BZ205" s="39"/>
      <c r="CA205" s="39"/>
      <c r="CB205" s="27" t="s">
        <v>95</v>
      </c>
      <c r="CC205" s="27" t="s">
        <v>96</v>
      </c>
      <c r="CD205" s="27" t="s">
        <v>96</v>
      </c>
      <c r="CE205" s="27" t="s">
        <v>999</v>
      </c>
      <c r="CF205" s="27" t="s">
        <v>96</v>
      </c>
      <c r="CG205" s="27" t="s">
        <v>96</v>
      </c>
      <c r="CH205" s="27" t="s">
        <v>95</v>
      </c>
      <c r="CI205" s="27"/>
      <c r="CJ205" s="27" t="s">
        <v>1000</v>
      </c>
      <c r="CK205" s="27"/>
      <c r="CL205" s="27" t="s">
        <v>96</v>
      </c>
      <c r="CM205" s="27" t="s">
        <v>183</v>
      </c>
      <c r="CN205" s="27" t="s">
        <v>96</v>
      </c>
      <c r="CO205" s="27"/>
      <c r="CP205" s="27"/>
      <c r="CQ205" s="27"/>
      <c r="CR205" s="43" t="s">
        <v>96</v>
      </c>
      <c r="CS205" s="43" t="s">
        <v>96</v>
      </c>
      <c r="CT205" s="43"/>
      <c r="CU205" s="43"/>
      <c r="CV205" s="43" t="s">
        <v>96</v>
      </c>
      <c r="CW205" s="43"/>
      <c r="CX205" s="43"/>
      <c r="CY205" s="43" t="s">
        <v>106</v>
      </c>
      <c r="CZ205" s="43" t="s">
        <v>106</v>
      </c>
      <c r="DA205" s="43" t="s">
        <v>1470</v>
      </c>
      <c r="DB205" s="43"/>
      <c r="DC205" s="43"/>
      <c r="DD205" s="43"/>
      <c r="DE205" s="43"/>
      <c r="DF205" s="43"/>
    </row>
    <row r="206" spans="1:110" ht="14">
      <c r="A206" s="27" t="s">
        <v>1001</v>
      </c>
      <c r="B206" s="27" t="s">
        <v>1713</v>
      </c>
      <c r="C206" s="27" t="s">
        <v>1002</v>
      </c>
      <c r="D206" s="27" t="s">
        <v>1650</v>
      </c>
      <c r="E206" s="27" t="s">
        <v>1651</v>
      </c>
      <c r="F206" s="39">
        <v>181221517869</v>
      </c>
      <c r="G206" s="39">
        <v>38024411</v>
      </c>
      <c r="H206" s="40">
        <v>2023</v>
      </c>
      <c r="I206" s="39">
        <v>9349117.9059999995</v>
      </c>
      <c r="J206" s="27" t="s">
        <v>194</v>
      </c>
      <c r="K206" s="41">
        <v>0.67362047134073877</v>
      </c>
      <c r="L206" s="39">
        <v>11161412.831768436</v>
      </c>
      <c r="M206" s="39">
        <v>44073121</v>
      </c>
      <c r="N206" s="41">
        <v>0.69382908548096101</v>
      </c>
      <c r="O206" s="39">
        <v>11453278.25466173</v>
      </c>
      <c r="P206" s="39">
        <v>38504928</v>
      </c>
      <c r="Q206" s="41">
        <v>0.81493061182505799</v>
      </c>
      <c r="R206" s="39">
        <v>12590189.961407056</v>
      </c>
      <c r="S206" s="39">
        <v>35426806</v>
      </c>
      <c r="T206" s="41">
        <v>0.97366020315640711</v>
      </c>
      <c r="U206" s="39">
        <v>12889404.491863687</v>
      </c>
      <c r="V206" s="39">
        <v>32165338</v>
      </c>
      <c r="W206" s="41">
        <v>1.0978724042635617</v>
      </c>
      <c r="X206" s="42">
        <v>0.44</v>
      </c>
      <c r="Y206" s="42">
        <v>0.09</v>
      </c>
      <c r="Z206" s="42">
        <v>0.02</v>
      </c>
      <c r="AA206" s="42">
        <v>0.13</v>
      </c>
      <c r="AB206" s="42">
        <v>0.11</v>
      </c>
      <c r="AC206" s="42"/>
      <c r="AD206" s="42">
        <v>0.01</v>
      </c>
      <c r="AE206" s="42"/>
      <c r="AF206" s="42">
        <v>0.05</v>
      </c>
      <c r="AG206" s="42"/>
      <c r="AH206" s="42"/>
      <c r="AI206" s="42"/>
      <c r="AJ206" s="42">
        <v>0.15</v>
      </c>
      <c r="AK206" s="39">
        <v>463856.06699999998</v>
      </c>
      <c r="AL206" s="39">
        <v>9821900</v>
      </c>
      <c r="AM206" s="39">
        <v>873200</v>
      </c>
      <c r="AN206" s="39">
        <v>277000</v>
      </c>
      <c r="AO206" s="39">
        <v>532000</v>
      </c>
      <c r="AP206" s="39"/>
      <c r="AQ206" s="39">
        <v>391077900</v>
      </c>
      <c r="AR206" s="39">
        <v>1100</v>
      </c>
      <c r="AS206" s="42"/>
      <c r="AT206" s="42"/>
      <c r="AU206" s="42"/>
      <c r="AV206" s="42"/>
      <c r="AW206" s="42"/>
      <c r="AX206" s="42"/>
      <c r="AY206" s="42">
        <v>0.78</v>
      </c>
      <c r="AZ206" s="42"/>
      <c r="BA206" s="42"/>
      <c r="BB206" s="42"/>
      <c r="BC206" s="42"/>
      <c r="BD206" s="42"/>
      <c r="BE206" s="42">
        <v>0.833682043824861</v>
      </c>
      <c r="BF206" s="42"/>
      <c r="BG206" s="42"/>
      <c r="BH206" s="42"/>
      <c r="BI206" s="42">
        <v>1.0005649832480101E-2</v>
      </c>
      <c r="BJ206" s="42">
        <v>4.9614955305240599E-2</v>
      </c>
      <c r="BK206" s="42">
        <v>1.51021563140721E-2</v>
      </c>
      <c r="BL206" s="42"/>
      <c r="BM206" s="42"/>
      <c r="BN206" s="42"/>
      <c r="BO206" s="42"/>
      <c r="BP206" s="42">
        <v>9.1595194723346499E-2</v>
      </c>
      <c r="BQ206" s="42"/>
      <c r="BR206" s="42"/>
      <c r="BS206" s="42"/>
      <c r="BT206" s="42"/>
      <c r="BU206" s="42"/>
      <c r="BV206" s="42"/>
      <c r="BW206" s="39">
        <v>19946</v>
      </c>
      <c r="BX206" s="39"/>
      <c r="BY206" s="39"/>
      <c r="BZ206" s="39"/>
      <c r="CA206" s="39"/>
      <c r="CB206" s="27" t="s">
        <v>96</v>
      </c>
      <c r="CC206" s="27" t="s">
        <v>96</v>
      </c>
      <c r="CD206" s="27" t="s">
        <v>96</v>
      </c>
      <c r="CE206" s="27" t="s">
        <v>1003</v>
      </c>
      <c r="CF206" s="27" t="s">
        <v>96</v>
      </c>
      <c r="CG206" s="27" t="s">
        <v>96</v>
      </c>
      <c r="CH206" s="27" t="s">
        <v>96</v>
      </c>
      <c r="CI206" s="27"/>
      <c r="CJ206" s="27" t="s">
        <v>1004</v>
      </c>
      <c r="CK206" s="27"/>
      <c r="CL206" s="27" t="s">
        <v>96</v>
      </c>
      <c r="CM206" s="27" t="s">
        <v>1005</v>
      </c>
      <c r="CN206" s="27" t="s">
        <v>96</v>
      </c>
      <c r="CO206" s="27"/>
      <c r="CP206" s="27"/>
      <c r="CQ206" s="27"/>
      <c r="CR206" s="43" t="s">
        <v>96</v>
      </c>
      <c r="CS206" s="43" t="s">
        <v>96</v>
      </c>
      <c r="CT206" s="43"/>
      <c r="CU206" s="43"/>
      <c r="CV206" s="43" t="s">
        <v>96</v>
      </c>
      <c r="CW206" s="43" t="s">
        <v>96</v>
      </c>
      <c r="CX206" s="43" t="s">
        <v>96</v>
      </c>
      <c r="CY206" s="43" t="s">
        <v>1723</v>
      </c>
      <c r="CZ206" s="43" t="s">
        <v>109</v>
      </c>
      <c r="DA206" s="43" t="s">
        <v>197</v>
      </c>
      <c r="DB206" s="43"/>
      <c r="DC206" s="43"/>
      <c r="DD206" s="43"/>
      <c r="DE206" s="43"/>
      <c r="DF206" s="43"/>
    </row>
    <row r="207" spans="1:110" ht="14">
      <c r="A207" s="27" t="s">
        <v>1006</v>
      </c>
      <c r="B207" t="s">
        <v>1715</v>
      </c>
      <c r="C207" s="27" t="s">
        <v>1007</v>
      </c>
      <c r="D207" s="27" t="s">
        <v>122</v>
      </c>
      <c r="E207" s="27" t="s">
        <v>122</v>
      </c>
      <c r="F207" s="39">
        <v>502731935194</v>
      </c>
      <c r="G207" s="39">
        <v>10039142</v>
      </c>
      <c r="H207" s="40">
        <v>2022</v>
      </c>
      <c r="I207" s="39">
        <v>4617980</v>
      </c>
      <c r="J207" s="27" t="s">
        <v>94</v>
      </c>
      <c r="K207" s="41">
        <v>1.2602670626633232</v>
      </c>
      <c r="L207" s="39">
        <v>4617979.9999999991</v>
      </c>
      <c r="M207" s="39">
        <v>10039142</v>
      </c>
      <c r="N207" s="41">
        <v>1.2602670626633232</v>
      </c>
      <c r="O207" s="39">
        <v>5892146.3948195511</v>
      </c>
      <c r="P207" s="39">
        <v>12123467</v>
      </c>
      <c r="Q207" s="41">
        <v>1.331538811061395</v>
      </c>
      <c r="R207" s="39">
        <v>6860708.7716196338</v>
      </c>
      <c r="S207" s="39">
        <v>13613685</v>
      </c>
      <c r="T207" s="41">
        <v>1.3807034897604138</v>
      </c>
      <c r="U207" s="39">
        <v>7786394.901065845</v>
      </c>
      <c r="V207" s="39">
        <v>15279410</v>
      </c>
      <c r="W207" s="41">
        <v>1.3961657400412324</v>
      </c>
      <c r="X207" s="42">
        <v>0.276200008392333</v>
      </c>
      <c r="Y207" s="42">
        <v>3.4000000953674302E-2</v>
      </c>
      <c r="Z207" s="42">
        <v>2.6700000762939401E-2</v>
      </c>
      <c r="AA207" s="42">
        <v>0.26120000839233298</v>
      </c>
      <c r="AB207" s="42">
        <v>0.249599990844727</v>
      </c>
      <c r="AC207" s="42"/>
      <c r="AD207" s="42"/>
      <c r="AE207" s="42"/>
      <c r="AF207" s="42">
        <v>3.7599999904632503E-2</v>
      </c>
      <c r="AG207" s="42"/>
      <c r="AH207" s="42"/>
      <c r="AI207" s="42"/>
      <c r="AJ207" s="42">
        <v>0.114700002670288</v>
      </c>
      <c r="AK207" s="39"/>
      <c r="AL207" s="39">
        <v>1185420</v>
      </c>
      <c r="AM207" s="39">
        <v>83215580</v>
      </c>
      <c r="AN207" s="39">
        <v>178000</v>
      </c>
      <c r="AO207" s="39">
        <v>531860</v>
      </c>
      <c r="AP207" s="39">
        <v>7439076.6600000001</v>
      </c>
      <c r="AQ207" s="39"/>
      <c r="AR207" s="39">
        <v>25967.64</v>
      </c>
      <c r="AS207" s="42"/>
      <c r="AT207" s="42"/>
      <c r="AU207" s="42"/>
      <c r="AV207" s="42"/>
      <c r="AW207" s="42"/>
      <c r="AX207" s="42"/>
      <c r="AY207" s="42"/>
      <c r="AZ207" s="42">
        <v>0.999</v>
      </c>
      <c r="BA207" s="42"/>
      <c r="BB207" s="42"/>
      <c r="BC207" s="42"/>
      <c r="BD207" s="42"/>
      <c r="BE207" s="42"/>
      <c r="BF207" s="42"/>
      <c r="BG207" s="42">
        <v>0.90449545257687303</v>
      </c>
      <c r="BH207" s="42"/>
      <c r="BI207" s="42">
        <v>5.3486357730619296E-3</v>
      </c>
      <c r="BJ207" s="42">
        <v>8.9562581203984401E-2</v>
      </c>
      <c r="BK207" s="42">
        <v>5.9333044608055399E-4</v>
      </c>
      <c r="BL207" s="42"/>
      <c r="BM207" s="42"/>
      <c r="BN207" s="42"/>
      <c r="BO207" s="42"/>
      <c r="BP207" s="42"/>
      <c r="BQ207" s="42"/>
      <c r="BR207" s="42"/>
      <c r="BS207" s="42"/>
      <c r="BT207" s="42"/>
      <c r="BU207" s="42"/>
      <c r="BV207" s="42"/>
      <c r="BW207" s="39"/>
      <c r="BX207" s="39"/>
      <c r="BY207" s="39"/>
      <c r="BZ207" s="39"/>
      <c r="CA207" s="39"/>
      <c r="CB207" s="27" t="s">
        <v>96</v>
      </c>
      <c r="CC207" s="27" t="s">
        <v>96</v>
      </c>
      <c r="CD207" s="27" t="s">
        <v>96</v>
      </c>
      <c r="CE207" s="27" t="s">
        <v>1008</v>
      </c>
      <c r="CF207" s="27" t="s">
        <v>96</v>
      </c>
      <c r="CG207" s="27" t="s">
        <v>96</v>
      </c>
      <c r="CH207" s="27" t="s">
        <v>95</v>
      </c>
      <c r="CI207" s="27" t="s">
        <v>1009</v>
      </c>
      <c r="CJ207" s="27" t="s">
        <v>123</v>
      </c>
      <c r="CK207" s="27"/>
      <c r="CL207" s="27" t="s">
        <v>96</v>
      </c>
      <c r="CM207" s="27" t="s">
        <v>1010</v>
      </c>
      <c r="CN207" s="27" t="s">
        <v>96</v>
      </c>
      <c r="CO207" s="27"/>
      <c r="CP207" s="27"/>
      <c r="CQ207" s="27"/>
      <c r="CR207" s="43" t="s">
        <v>96</v>
      </c>
      <c r="CS207" s="43" t="s">
        <v>96</v>
      </c>
      <c r="CT207" s="43"/>
      <c r="CU207" s="43"/>
      <c r="CV207" s="43" t="s">
        <v>96</v>
      </c>
      <c r="CW207" s="43" t="s">
        <v>96</v>
      </c>
      <c r="CX207" s="43"/>
      <c r="CY207" s="43" t="s">
        <v>106</v>
      </c>
      <c r="CZ207" s="43" t="s">
        <v>109</v>
      </c>
      <c r="DA207" s="43" t="s">
        <v>1470</v>
      </c>
      <c r="DB207" s="43"/>
      <c r="DC207" s="43"/>
      <c r="DD207" s="43"/>
      <c r="DE207" s="43"/>
      <c r="DF207" s="43"/>
    </row>
    <row r="208" spans="1:110" ht="14">
      <c r="A208" s="27" t="s">
        <v>1011</v>
      </c>
      <c r="B208" s="27" t="s">
        <v>1713</v>
      </c>
      <c r="C208" s="27" t="s">
        <v>1012</v>
      </c>
      <c r="D208" s="27" t="s">
        <v>122</v>
      </c>
      <c r="E208" s="27" t="s">
        <v>122</v>
      </c>
      <c r="F208" s="39">
        <v>3149323050707</v>
      </c>
      <c r="G208" s="39">
        <v>67421835</v>
      </c>
      <c r="H208" s="40">
        <v>2021</v>
      </c>
      <c r="I208" s="39">
        <v>31418575.109999999</v>
      </c>
      <c r="J208" s="27" t="s">
        <v>94</v>
      </c>
      <c r="K208" s="41">
        <v>1.2767123287671232</v>
      </c>
      <c r="L208" s="39">
        <v>31945349.053263228</v>
      </c>
      <c r="M208" s="39">
        <v>67915749</v>
      </c>
      <c r="N208" s="41">
        <v>1.2886775975262481</v>
      </c>
      <c r="O208" s="39">
        <v>34595040.665597796</v>
      </c>
      <c r="P208" s="39">
        <v>71130153</v>
      </c>
      <c r="Q208" s="41">
        <v>1.3325000626725056</v>
      </c>
      <c r="R208" s="39">
        <v>37325333.5993165</v>
      </c>
      <c r="S208" s="39">
        <v>73670700</v>
      </c>
      <c r="T208" s="41">
        <v>1.3880849230879151</v>
      </c>
      <c r="U208" s="39">
        <v>39669398.345373608</v>
      </c>
      <c r="V208" s="39">
        <v>75445817</v>
      </c>
      <c r="W208" s="41">
        <v>1.4405475009702646</v>
      </c>
      <c r="X208" s="42">
        <v>0.20300000000000001</v>
      </c>
      <c r="Y208" s="42">
        <v>6.9000000000000006E-2</v>
      </c>
      <c r="Z208" s="42">
        <v>3.7999999999999999E-2</v>
      </c>
      <c r="AA208" s="42">
        <v>0.17499999999999999</v>
      </c>
      <c r="AB208" s="42">
        <v>9.1999999999999998E-2</v>
      </c>
      <c r="AC208" s="42"/>
      <c r="AD208" s="42">
        <v>3.9E-2</v>
      </c>
      <c r="AE208" s="42">
        <v>0.17199999999999999</v>
      </c>
      <c r="AF208" s="42">
        <v>4.7E-2</v>
      </c>
      <c r="AG208" s="42">
        <v>1.7999999999999999E-2</v>
      </c>
      <c r="AH208" s="42">
        <v>4.0000000000000001E-3</v>
      </c>
      <c r="AI208" s="42"/>
      <c r="AJ208" s="42">
        <v>0.14299999999999999</v>
      </c>
      <c r="AK208" s="39">
        <v>8695144</v>
      </c>
      <c r="AL208" s="39">
        <v>616865</v>
      </c>
      <c r="AM208" s="39">
        <v>137798233</v>
      </c>
      <c r="AN208" s="39">
        <v>1652000</v>
      </c>
      <c r="AO208" s="39">
        <v>5858884</v>
      </c>
      <c r="AP208" s="39">
        <v>11218916</v>
      </c>
      <c r="AQ208" s="39">
        <v>14776902</v>
      </c>
      <c r="AR208" s="39"/>
      <c r="AS208" s="42"/>
      <c r="AT208" s="42"/>
      <c r="AU208" s="42"/>
      <c r="AV208" s="42"/>
      <c r="AW208" s="42"/>
      <c r="AX208" s="42"/>
      <c r="AY208" s="42"/>
      <c r="AZ208" s="42"/>
      <c r="BA208" s="42"/>
      <c r="BB208" s="42"/>
      <c r="BC208" s="42"/>
      <c r="BD208" s="42"/>
      <c r="BE208" s="42"/>
      <c r="BF208" s="42"/>
      <c r="BG208" s="42">
        <v>9.2100000000000001E-2</v>
      </c>
      <c r="BH208" s="42"/>
      <c r="BI208" s="42">
        <v>0.16250000000000001</v>
      </c>
      <c r="BJ208" s="42">
        <v>0.26179999999999998</v>
      </c>
      <c r="BK208" s="42">
        <v>0.45390000000000003</v>
      </c>
      <c r="BL208" s="42"/>
      <c r="BM208" s="42"/>
      <c r="BN208" s="42">
        <v>2.9700000000000001E-2</v>
      </c>
      <c r="BO208" s="42"/>
      <c r="BP208" s="42"/>
      <c r="BQ208" s="42"/>
      <c r="BR208" s="42"/>
      <c r="BS208" s="42"/>
      <c r="BT208" s="42"/>
      <c r="BU208" s="42"/>
      <c r="BV208" s="42"/>
      <c r="BW208" s="39">
        <v>145800</v>
      </c>
      <c r="BX208" s="39"/>
      <c r="BY208" s="39"/>
      <c r="BZ208" s="39"/>
      <c r="CA208" s="39"/>
      <c r="CB208" s="27" t="s">
        <v>96</v>
      </c>
      <c r="CC208" s="27" t="s">
        <v>96</v>
      </c>
      <c r="CD208" s="27" t="s">
        <v>96</v>
      </c>
      <c r="CE208" s="27" t="s">
        <v>1013</v>
      </c>
      <c r="CF208" s="27" t="s">
        <v>96</v>
      </c>
      <c r="CG208" s="27"/>
      <c r="CH208" s="27" t="s">
        <v>96</v>
      </c>
      <c r="CI208" s="27" t="s">
        <v>1014</v>
      </c>
      <c r="CJ208" s="27" t="s">
        <v>1625</v>
      </c>
      <c r="CK208" s="27"/>
      <c r="CL208" s="27" t="s">
        <v>96</v>
      </c>
      <c r="CM208" s="27" t="s">
        <v>1015</v>
      </c>
      <c r="CN208" s="27" t="s">
        <v>96</v>
      </c>
      <c r="CO208" s="27"/>
      <c r="CP208" s="27" t="s">
        <v>95</v>
      </c>
      <c r="CQ208" s="27"/>
      <c r="CR208" s="43" t="s">
        <v>96</v>
      </c>
      <c r="CS208" s="43" t="s">
        <v>96</v>
      </c>
      <c r="CT208" s="43"/>
      <c r="CU208" s="43"/>
      <c r="CV208" s="43" t="s">
        <v>96</v>
      </c>
      <c r="CW208" s="43" t="s">
        <v>96</v>
      </c>
      <c r="CX208" s="43"/>
      <c r="CY208" s="43" t="s">
        <v>1723</v>
      </c>
      <c r="CZ208" s="43" t="s">
        <v>109</v>
      </c>
      <c r="DA208" s="43" t="s">
        <v>1470</v>
      </c>
      <c r="DB208" s="43" t="s">
        <v>96</v>
      </c>
      <c r="DC208" s="43" t="s">
        <v>162</v>
      </c>
      <c r="DD208" s="43" t="s">
        <v>1435</v>
      </c>
      <c r="DE208" s="43" t="s">
        <v>109</v>
      </c>
      <c r="DF208" t="s">
        <v>107</v>
      </c>
    </row>
    <row r="209" spans="1:110" ht="14">
      <c r="A209" s="27" t="s">
        <v>1016</v>
      </c>
      <c r="B209" s="33" t="s">
        <v>1716</v>
      </c>
      <c r="C209" s="27" t="s">
        <v>1017</v>
      </c>
      <c r="D209" s="27" t="s">
        <v>122</v>
      </c>
      <c r="E209" s="27" t="s">
        <v>122</v>
      </c>
      <c r="F209" s="39">
        <v>20656516000000</v>
      </c>
      <c r="G209" s="39">
        <v>333675290</v>
      </c>
      <c r="H209" s="40">
        <v>2018</v>
      </c>
      <c r="I209" s="39">
        <v>265260817.97600001</v>
      </c>
      <c r="J209" s="27" t="s">
        <v>94</v>
      </c>
      <c r="K209" s="41">
        <v>2.1779915649658514</v>
      </c>
      <c r="L209" s="39">
        <v>274658376.57859516</v>
      </c>
      <c r="M209" s="39">
        <v>340592993</v>
      </c>
      <c r="N209" s="41">
        <v>2.2093487488600663</v>
      </c>
      <c r="O209" s="39">
        <v>295060574.01132166</v>
      </c>
      <c r="P209" s="39">
        <v>354856131</v>
      </c>
      <c r="Q209" s="41">
        <v>2.278064442622223</v>
      </c>
      <c r="R209" s="39">
        <v>313933391.36532694</v>
      </c>
      <c r="S209" s="39">
        <v>369567825</v>
      </c>
      <c r="T209" s="41">
        <v>2.3272899452020113</v>
      </c>
      <c r="U209" s="39">
        <v>328445977.89416951</v>
      </c>
      <c r="V209" s="39">
        <v>380412816</v>
      </c>
      <c r="W209" s="41">
        <v>2.3654618256357627</v>
      </c>
      <c r="X209" s="42">
        <v>0.216</v>
      </c>
      <c r="Y209" s="42">
        <v>4.2000000000000003E-2</v>
      </c>
      <c r="Z209" s="42">
        <v>8.7999999999999995E-2</v>
      </c>
      <c r="AA209" s="42">
        <v>0.23100000000000001</v>
      </c>
      <c r="AB209" s="42">
        <v>0.122</v>
      </c>
      <c r="AC209" s="42">
        <v>3.1E-2</v>
      </c>
      <c r="AD209" s="42">
        <v>6.2E-2</v>
      </c>
      <c r="AE209" s="42">
        <v>0.121</v>
      </c>
      <c r="AF209" s="42">
        <v>5.8000000000000003E-2</v>
      </c>
      <c r="AG209" s="42"/>
      <c r="AH209" s="42"/>
      <c r="AI209" s="42">
        <v>1.4E-2</v>
      </c>
      <c r="AJ209" s="42">
        <v>1.4999999999999999E-2</v>
      </c>
      <c r="AK209" s="39"/>
      <c r="AL209" s="39"/>
      <c r="AM209" s="39">
        <v>544582999</v>
      </c>
      <c r="AN209" s="39">
        <v>7188000</v>
      </c>
      <c r="AO209" s="39">
        <v>26898027.541000001</v>
      </c>
      <c r="AP209" s="39">
        <v>6894604024</v>
      </c>
      <c r="AQ209" s="39"/>
      <c r="AR209" s="39"/>
      <c r="AS209" s="42"/>
      <c r="AT209" s="42"/>
      <c r="AU209" s="42"/>
      <c r="AV209" s="42"/>
      <c r="AW209" s="42"/>
      <c r="AX209" s="42"/>
      <c r="AY209" s="42">
        <v>1</v>
      </c>
      <c r="AZ209" s="42"/>
      <c r="BA209" s="42"/>
      <c r="BB209" s="42"/>
      <c r="BC209" s="42"/>
      <c r="BD209" s="42"/>
      <c r="BE209" s="42"/>
      <c r="BF209" s="42">
        <v>0.49099999999999999</v>
      </c>
      <c r="BG209" s="42"/>
      <c r="BH209" s="42">
        <v>6.3E-2</v>
      </c>
      <c r="BI209" s="42">
        <v>8.7999999999999995E-2</v>
      </c>
      <c r="BJ209" s="42">
        <v>0.24099999999999999</v>
      </c>
      <c r="BK209" s="42">
        <v>0.11700000000000001</v>
      </c>
      <c r="BL209" s="42"/>
      <c r="BM209" s="42"/>
      <c r="BN209" s="42"/>
      <c r="BO209" s="42"/>
      <c r="BP209" s="42"/>
      <c r="BQ209" s="42"/>
      <c r="BR209" s="42"/>
      <c r="BS209" s="42"/>
      <c r="BT209" s="42"/>
      <c r="BU209" s="42"/>
      <c r="BV209" s="42"/>
      <c r="BW209" s="39">
        <v>681000</v>
      </c>
      <c r="BX209" s="39">
        <v>147777</v>
      </c>
      <c r="BY209" s="39"/>
      <c r="BZ209" s="39"/>
      <c r="CA209" s="39"/>
      <c r="CB209" s="27" t="s">
        <v>96</v>
      </c>
      <c r="CC209" s="27" t="s">
        <v>96</v>
      </c>
      <c r="CD209" s="27" t="s">
        <v>96</v>
      </c>
      <c r="CE209" s="27" t="s">
        <v>1018</v>
      </c>
      <c r="CF209" s="27" t="s">
        <v>96</v>
      </c>
      <c r="CG209" s="27" t="s">
        <v>96</v>
      </c>
      <c r="CH209" s="27" t="s">
        <v>96</v>
      </c>
      <c r="CI209" s="27" t="s">
        <v>1019</v>
      </c>
      <c r="CJ209" s="27" t="s">
        <v>1020</v>
      </c>
      <c r="CK209" s="27"/>
      <c r="CL209" s="27" t="s">
        <v>96</v>
      </c>
      <c r="CM209" s="27" t="s">
        <v>1021</v>
      </c>
      <c r="CN209" s="27" t="s">
        <v>96</v>
      </c>
      <c r="CO209" s="27"/>
      <c r="CP209" s="27" t="s">
        <v>96</v>
      </c>
      <c r="CQ209" s="27"/>
      <c r="CR209" s="43" t="s">
        <v>96</v>
      </c>
      <c r="CS209" s="43" t="s">
        <v>96</v>
      </c>
      <c r="CT209" s="43"/>
      <c r="CU209" s="43"/>
      <c r="CV209" s="43" t="s">
        <v>96</v>
      </c>
      <c r="CW209" s="43" t="s">
        <v>96</v>
      </c>
      <c r="CX209" s="43" t="s">
        <v>96</v>
      </c>
      <c r="CY209" s="43" t="s">
        <v>1723</v>
      </c>
      <c r="CZ209" s="43" t="s">
        <v>109</v>
      </c>
      <c r="DA209" s="43" t="s">
        <v>1470</v>
      </c>
      <c r="DB209" s="43" t="s">
        <v>96</v>
      </c>
      <c r="DC209" s="43" t="s">
        <v>162</v>
      </c>
      <c r="DD209" s="43" t="s">
        <v>1069</v>
      </c>
      <c r="DE209" s="43" t="s">
        <v>109</v>
      </c>
      <c r="DF209" s="43" t="s">
        <v>1470</v>
      </c>
    </row>
    <row r="210" spans="1:110" ht="14">
      <c r="A210" s="27" t="s">
        <v>1022</v>
      </c>
      <c r="B210" s="27" t="s">
        <v>1714</v>
      </c>
      <c r="C210" s="27" t="s">
        <v>1023</v>
      </c>
      <c r="D210" s="27" t="s">
        <v>122</v>
      </c>
      <c r="E210" s="27" t="s">
        <v>122</v>
      </c>
      <c r="F210" s="39">
        <v>60739084241</v>
      </c>
      <c r="G210" s="39">
        <v>3400245</v>
      </c>
      <c r="H210" s="40">
        <v>2021</v>
      </c>
      <c r="I210" s="39">
        <v>1250583.44</v>
      </c>
      <c r="J210" s="27" t="s">
        <v>1024</v>
      </c>
      <c r="K210" s="41">
        <v>1.0076497428861744</v>
      </c>
      <c r="L210" s="39">
        <v>1273687.6674783397</v>
      </c>
      <c r="M210" s="39">
        <v>3393144</v>
      </c>
      <c r="N210" s="41">
        <v>1.0284135460697554</v>
      </c>
      <c r="O210" s="39">
        <v>1366600.580187961</v>
      </c>
      <c r="P210" s="39">
        <v>3374161</v>
      </c>
      <c r="Q210" s="41">
        <v>1.1096421239523406</v>
      </c>
      <c r="R210" s="39">
        <v>1448179.9838917409</v>
      </c>
      <c r="S210" s="39">
        <v>3339156</v>
      </c>
      <c r="T210" s="41">
        <v>1.1882093541673249</v>
      </c>
      <c r="U210" s="39">
        <v>1489159.4264677907</v>
      </c>
      <c r="V210" s="39">
        <v>3259966</v>
      </c>
      <c r="W210" s="41">
        <v>1.2515126966470764</v>
      </c>
      <c r="X210" s="42">
        <v>0.40200000000000002</v>
      </c>
      <c r="Y210" s="42">
        <v>3.4000000000000002E-2</v>
      </c>
      <c r="Z210" s="42">
        <v>3.5999999999999997E-2</v>
      </c>
      <c r="AA210" s="42">
        <v>0.13800000000000001</v>
      </c>
      <c r="AB210" s="42">
        <v>0.17299999999999999</v>
      </c>
      <c r="AC210" s="42"/>
      <c r="AD210" s="42">
        <v>5.0999999999999997E-2</v>
      </c>
      <c r="AE210" s="42"/>
      <c r="AF210" s="42">
        <v>3.2000000000000001E-2</v>
      </c>
      <c r="AG210" s="42"/>
      <c r="AH210" s="42">
        <v>1.2E-2</v>
      </c>
      <c r="AI210" s="42">
        <v>5.7000000000000002E-2</v>
      </c>
      <c r="AJ210" s="42">
        <v>6.5000000000000002E-2</v>
      </c>
      <c r="AK210" s="39"/>
      <c r="AL210" s="39"/>
      <c r="AM210" s="39">
        <v>880000</v>
      </c>
      <c r="AN210" s="39">
        <v>44000</v>
      </c>
      <c r="AO210" s="39"/>
      <c r="AP210" s="39">
        <v>1635545</v>
      </c>
      <c r="AQ210" s="39"/>
      <c r="AR210" s="39">
        <v>6229</v>
      </c>
      <c r="AS210" s="42"/>
      <c r="AT210" s="42"/>
      <c r="AU210" s="42"/>
      <c r="AV210" s="42"/>
      <c r="AW210" s="42"/>
      <c r="AX210" s="42"/>
      <c r="AY210" s="42">
        <v>0.98</v>
      </c>
      <c r="AZ210" s="42">
        <v>1</v>
      </c>
      <c r="BA210" s="42"/>
      <c r="BB210" s="42"/>
      <c r="BC210" s="42"/>
      <c r="BD210" s="42">
        <v>4.9874858366058102E-2</v>
      </c>
      <c r="BE210" s="42">
        <v>0.29924915019634801</v>
      </c>
      <c r="BF210" s="42">
        <v>0.64837315875875501</v>
      </c>
      <c r="BG210" s="42"/>
      <c r="BH210" s="42"/>
      <c r="BI210" s="42"/>
      <c r="BJ210" s="42"/>
      <c r="BK210" s="42"/>
      <c r="BL210" s="42"/>
      <c r="BM210" s="42"/>
      <c r="BN210" s="42"/>
      <c r="BO210" s="42"/>
      <c r="BP210" s="42">
        <v>2.5000000000000001E-3</v>
      </c>
      <c r="BQ210" s="42"/>
      <c r="BR210" s="42"/>
      <c r="BS210" s="42"/>
      <c r="BT210" s="42"/>
      <c r="BU210" s="42"/>
      <c r="BV210" s="42"/>
      <c r="BW210" s="39">
        <v>12654</v>
      </c>
      <c r="BX210" s="39"/>
      <c r="BY210" s="39">
        <v>5500</v>
      </c>
      <c r="BZ210" s="39"/>
      <c r="CA210" s="39"/>
      <c r="CB210" s="27"/>
      <c r="CC210" s="27"/>
      <c r="CD210" s="27" t="s">
        <v>96</v>
      </c>
      <c r="CE210" s="27" t="s">
        <v>1025</v>
      </c>
      <c r="CF210" s="27" t="s">
        <v>96</v>
      </c>
      <c r="CG210" s="27" t="s">
        <v>96</v>
      </c>
      <c r="CH210" s="27"/>
      <c r="CI210" s="27" t="s">
        <v>1026</v>
      </c>
      <c r="CJ210" s="27" t="s">
        <v>1647</v>
      </c>
      <c r="CK210" s="27"/>
      <c r="CL210" s="27" t="s">
        <v>96</v>
      </c>
      <c r="CM210" s="27" t="s">
        <v>1027</v>
      </c>
      <c r="CN210" s="27" t="s">
        <v>96</v>
      </c>
      <c r="CO210" s="27"/>
      <c r="CP210" s="27" t="s">
        <v>96</v>
      </c>
      <c r="CQ210" s="27"/>
      <c r="CR210" s="43" t="s">
        <v>96</v>
      </c>
      <c r="CS210" s="43" t="s">
        <v>96</v>
      </c>
      <c r="CT210" s="43"/>
      <c r="CU210" s="43"/>
      <c r="CV210" s="43" t="s">
        <v>96</v>
      </c>
      <c r="CW210" s="43"/>
      <c r="CX210" s="43" t="s">
        <v>96</v>
      </c>
      <c r="CY210" s="43" t="s">
        <v>106</v>
      </c>
      <c r="CZ210" s="43" t="s">
        <v>109</v>
      </c>
      <c r="DA210" s="43" t="s">
        <v>1470</v>
      </c>
      <c r="DB210" s="43" t="s">
        <v>96</v>
      </c>
      <c r="DC210" s="43" t="s">
        <v>168</v>
      </c>
      <c r="DD210" s="43" t="s">
        <v>1724</v>
      </c>
      <c r="DE210" s="43" t="s">
        <v>109</v>
      </c>
      <c r="DF210" s="43" t="s">
        <v>1470</v>
      </c>
    </row>
    <row r="211" spans="1:110" ht="14">
      <c r="A211" s="27" t="s">
        <v>1028</v>
      </c>
      <c r="B211" s="27" t="s">
        <v>1713</v>
      </c>
      <c r="C211" s="27" t="s">
        <v>1029</v>
      </c>
      <c r="D211" s="27" t="s">
        <v>1651</v>
      </c>
      <c r="E211" s="27" t="s">
        <v>1651</v>
      </c>
      <c r="F211" s="39">
        <v>90095926567</v>
      </c>
      <c r="G211" s="39">
        <v>34583751</v>
      </c>
      <c r="H211" s="40">
        <v>2022</v>
      </c>
      <c r="I211" s="39">
        <v>6816840.5</v>
      </c>
      <c r="J211" s="27" t="s">
        <v>94</v>
      </c>
      <c r="K211" s="41">
        <v>0.54003035536734445</v>
      </c>
      <c r="L211" s="39">
        <v>6816840.5</v>
      </c>
      <c r="M211" s="39">
        <v>34583751</v>
      </c>
      <c r="N211" s="41">
        <v>0.54003035536734445</v>
      </c>
      <c r="O211" s="39">
        <v>8109622.7498162379</v>
      </c>
      <c r="P211" s="39">
        <v>39944077</v>
      </c>
      <c r="Q211" s="41">
        <v>0.55623126602836481</v>
      </c>
      <c r="R211" s="39">
        <v>11442213.516997237</v>
      </c>
      <c r="S211" s="39">
        <v>45750926</v>
      </c>
      <c r="T211" s="41">
        <v>0.6851999057582806</v>
      </c>
      <c r="U211" s="39">
        <v>14835788.798171487</v>
      </c>
      <c r="V211" s="39">
        <v>51905242</v>
      </c>
      <c r="W211" s="41">
        <v>0.78308076681964311</v>
      </c>
      <c r="X211" s="42">
        <v>0.28000000000000003</v>
      </c>
      <c r="Y211" s="42">
        <v>0.05</v>
      </c>
      <c r="Z211" s="42">
        <v>0.02</v>
      </c>
      <c r="AA211" s="42">
        <v>0.03</v>
      </c>
      <c r="AB211" s="42">
        <v>0.08</v>
      </c>
      <c r="AC211" s="42">
        <v>0.02</v>
      </c>
      <c r="AD211" s="42"/>
      <c r="AE211" s="42">
        <v>0.13</v>
      </c>
      <c r="AF211" s="42">
        <v>0.03</v>
      </c>
      <c r="AG211" s="42">
        <v>2.8999999999999998E-3</v>
      </c>
      <c r="AH211" s="42"/>
      <c r="AI211" s="42"/>
      <c r="AJ211" s="42">
        <v>0.35709999999999997</v>
      </c>
      <c r="AK211" s="39">
        <v>2208235</v>
      </c>
      <c r="AL211" s="39"/>
      <c r="AM211" s="39">
        <v>1300193</v>
      </c>
      <c r="AN211" s="39">
        <v>102000</v>
      </c>
      <c r="AO211" s="39">
        <v>84423</v>
      </c>
      <c r="AP211" s="39">
        <v>115000000</v>
      </c>
      <c r="AQ211" s="39"/>
      <c r="AR211" s="39">
        <v>42411</v>
      </c>
      <c r="AS211" s="42"/>
      <c r="AT211" s="42"/>
      <c r="AU211" s="42"/>
      <c r="AV211" s="42"/>
      <c r="AW211" s="42"/>
      <c r="AX211" s="42"/>
      <c r="AY211" s="42">
        <v>0.86060000000000003</v>
      </c>
      <c r="AZ211" s="42"/>
      <c r="BA211" s="42"/>
      <c r="BB211" s="42"/>
      <c r="BC211" s="42"/>
      <c r="BD211" s="42"/>
      <c r="BE211" s="42"/>
      <c r="BF211" s="42"/>
      <c r="BG211" s="42">
        <v>0.80859999999999999</v>
      </c>
      <c r="BH211" s="42"/>
      <c r="BI211" s="42"/>
      <c r="BJ211" s="42">
        <v>5.1999999999999998E-2</v>
      </c>
      <c r="BK211" s="42"/>
      <c r="BL211" s="42"/>
      <c r="BM211" s="42"/>
      <c r="BN211" s="42"/>
      <c r="BO211" s="42">
        <v>0.1394</v>
      </c>
      <c r="BP211" s="42"/>
      <c r="BQ211" s="42"/>
      <c r="BR211" s="42"/>
      <c r="BS211" s="42"/>
      <c r="BT211" s="42"/>
      <c r="BU211" s="42"/>
      <c r="BV211" s="42"/>
      <c r="BW211" s="39"/>
      <c r="BX211" s="39"/>
      <c r="BY211" s="39"/>
      <c r="BZ211" s="39"/>
      <c r="CA211" s="39"/>
      <c r="CB211" s="27" t="s">
        <v>95</v>
      </c>
      <c r="CC211" s="27" t="s">
        <v>96</v>
      </c>
      <c r="CD211" s="27" t="s">
        <v>96</v>
      </c>
      <c r="CE211" s="27" t="s">
        <v>1030</v>
      </c>
      <c r="CF211" s="27" t="s">
        <v>96</v>
      </c>
      <c r="CG211" s="27" t="s">
        <v>96</v>
      </c>
      <c r="CH211" s="27" t="s">
        <v>96</v>
      </c>
      <c r="CI211" s="27"/>
      <c r="CJ211" s="27" t="s">
        <v>1598</v>
      </c>
      <c r="CK211" s="27"/>
      <c r="CL211" s="27" t="s">
        <v>96</v>
      </c>
      <c r="CM211" s="27" t="s">
        <v>1031</v>
      </c>
      <c r="CN211" s="27" t="s">
        <v>95</v>
      </c>
      <c r="CO211" s="27"/>
      <c r="CP211" s="27"/>
      <c r="CQ211" s="27"/>
      <c r="CR211" s="43" t="s">
        <v>96</v>
      </c>
      <c r="CS211" s="43" t="s">
        <v>96</v>
      </c>
      <c r="CT211" s="43"/>
      <c r="CU211" s="43"/>
      <c r="CV211" s="43"/>
      <c r="CW211" s="43"/>
      <c r="CX211" s="43"/>
      <c r="CY211" s="43" t="s">
        <v>106</v>
      </c>
      <c r="CZ211" s="43" t="s">
        <v>198</v>
      </c>
      <c r="DA211" s="43" t="s">
        <v>107</v>
      </c>
      <c r="DB211" s="43"/>
      <c r="DC211" s="43"/>
      <c r="DD211" s="43"/>
      <c r="DE211" s="43"/>
      <c r="DF211" s="43"/>
    </row>
    <row r="212" spans="1:110" ht="14">
      <c r="A212" s="27" t="s">
        <v>1032</v>
      </c>
      <c r="B212" s="47" t="s">
        <v>1712</v>
      </c>
      <c r="C212" s="27" t="s">
        <v>1033</v>
      </c>
      <c r="D212" s="27" t="s">
        <v>1651</v>
      </c>
      <c r="E212" s="27" t="s">
        <v>1651</v>
      </c>
      <c r="F212" s="39">
        <v>936526267.62</v>
      </c>
      <c r="G212" s="39">
        <v>288628</v>
      </c>
      <c r="H212" s="40">
        <v>2019</v>
      </c>
      <c r="I212" s="39">
        <v>41610</v>
      </c>
      <c r="J212" s="27" t="s">
        <v>94</v>
      </c>
      <c r="K212" s="41">
        <v>0.39497207478137947</v>
      </c>
      <c r="L212" s="39">
        <v>40184.553821900816</v>
      </c>
      <c r="M212" s="39">
        <v>309361</v>
      </c>
      <c r="N212" s="41">
        <v>0.35587765751082939</v>
      </c>
      <c r="O212" s="39">
        <v>50502.596874983239</v>
      </c>
      <c r="P212" s="39">
        <v>368642</v>
      </c>
      <c r="Q212" s="41">
        <v>0.37533237967877542</v>
      </c>
      <c r="R212" s="39">
        <v>63131.340840565848</v>
      </c>
      <c r="S212" s="39">
        <v>447403</v>
      </c>
      <c r="T212" s="41">
        <v>0.3865923510691387</v>
      </c>
      <c r="U212" s="39">
        <v>77068.248623872118</v>
      </c>
      <c r="V212" s="39">
        <v>530264</v>
      </c>
      <c r="W212" s="41">
        <v>0.39819012160121287</v>
      </c>
      <c r="X212" s="42">
        <v>0.37209999999999999</v>
      </c>
      <c r="Y212" s="42">
        <v>3.27E-2</v>
      </c>
      <c r="Z212" s="42">
        <v>0.1154</v>
      </c>
      <c r="AA212" s="42">
        <v>4.2700000000000002E-2</v>
      </c>
      <c r="AB212" s="42">
        <v>0.1033</v>
      </c>
      <c r="AC212" s="42"/>
      <c r="AD212" s="42"/>
      <c r="AE212" s="42"/>
      <c r="AF212" s="42"/>
      <c r="AG212" s="42"/>
      <c r="AH212" s="42"/>
      <c r="AI212" s="42">
        <v>0.28299999999999997</v>
      </c>
      <c r="AJ212" s="42">
        <v>5.0800000000000199E-2</v>
      </c>
      <c r="AK212" s="39"/>
      <c r="AL212" s="39"/>
      <c r="AM212" s="39"/>
      <c r="AN212" s="39">
        <v>374.02199999999999</v>
      </c>
      <c r="AO212" s="39"/>
      <c r="AP212" s="39"/>
      <c r="AQ212" s="39"/>
      <c r="AR212" s="39">
        <v>139</v>
      </c>
      <c r="AS212" s="42"/>
      <c r="AT212" s="42"/>
      <c r="AU212" s="42"/>
      <c r="AV212" s="42"/>
      <c r="AW212" s="42"/>
      <c r="AX212" s="42">
        <v>0.41889999999999999</v>
      </c>
      <c r="AY212" s="42">
        <v>0.12</v>
      </c>
      <c r="AZ212" s="42">
        <v>0.41889999999999999</v>
      </c>
      <c r="BA212" s="42"/>
      <c r="BB212" s="42">
        <v>0.5</v>
      </c>
      <c r="BC212" s="42"/>
      <c r="BD212" s="28">
        <v>0.40210890685903783</v>
      </c>
      <c r="BE212" s="29"/>
      <c r="BF212" s="29"/>
      <c r="BG212" s="29"/>
      <c r="BH212" s="29"/>
      <c r="BI212" s="29">
        <v>1.7790272848915007E-3</v>
      </c>
      <c r="BJ212" s="29">
        <v>1.5012065856070735E-2</v>
      </c>
      <c r="BK212" s="30"/>
      <c r="BL212" s="30"/>
      <c r="BM212" s="30"/>
      <c r="BN212" s="29"/>
      <c r="BO212" s="29">
        <v>0.58109999999999995</v>
      </c>
      <c r="BP212" s="42"/>
      <c r="BQ212" s="42"/>
      <c r="BR212" s="42"/>
      <c r="BS212" s="42"/>
      <c r="BT212" s="42"/>
      <c r="BU212" s="42">
        <v>2.5999999999999999E-2</v>
      </c>
      <c r="BV212" s="42">
        <v>0.97399999999999998</v>
      </c>
      <c r="BW212" s="39"/>
      <c r="BX212" s="39"/>
      <c r="BY212" s="39"/>
      <c r="BZ212" s="39"/>
      <c r="CA212" s="39"/>
      <c r="CB212" s="27" t="s">
        <v>96</v>
      </c>
      <c r="CC212" s="27" t="s">
        <v>96</v>
      </c>
      <c r="CD212" s="27" t="s">
        <v>96</v>
      </c>
      <c r="CE212" s="27" t="s">
        <v>1034</v>
      </c>
      <c r="CF212" s="27" t="s">
        <v>96</v>
      </c>
      <c r="CG212" s="27" t="s">
        <v>96</v>
      </c>
      <c r="CH212" s="27" t="s">
        <v>96</v>
      </c>
      <c r="CI212" s="27" t="s">
        <v>1035</v>
      </c>
      <c r="CJ212" s="27" t="s">
        <v>1560</v>
      </c>
      <c r="CK212" s="27"/>
      <c r="CL212" s="27" t="s">
        <v>96</v>
      </c>
      <c r="CM212" s="27" t="s">
        <v>1036</v>
      </c>
      <c r="CN212" s="27" t="s">
        <v>95</v>
      </c>
      <c r="CO212" s="27"/>
      <c r="CP212" s="27"/>
      <c r="CQ212" s="27"/>
      <c r="CR212" s="43" t="s">
        <v>96</v>
      </c>
      <c r="CS212" s="43"/>
      <c r="CT212" s="43"/>
      <c r="CU212" s="43"/>
      <c r="CV212" s="43"/>
      <c r="CW212" s="43"/>
      <c r="CX212" s="43" t="s">
        <v>96</v>
      </c>
      <c r="CY212" s="43" t="s">
        <v>106</v>
      </c>
      <c r="CZ212" s="43" t="s">
        <v>198</v>
      </c>
      <c r="DA212" s="43" t="s">
        <v>107</v>
      </c>
      <c r="DB212" s="43"/>
      <c r="DC212" s="43"/>
      <c r="DD212" s="43"/>
      <c r="DE212" s="43"/>
      <c r="DF212" s="43"/>
    </row>
    <row r="213" spans="1:110" ht="14">
      <c r="A213" s="27" t="s">
        <v>1037</v>
      </c>
      <c r="B213" s="27" t="s">
        <v>1714</v>
      </c>
      <c r="C213" s="27" t="s">
        <v>1038</v>
      </c>
      <c r="D213" s="27" t="s">
        <v>1618</v>
      </c>
      <c r="E213" s="27" t="s">
        <v>1618</v>
      </c>
      <c r="F213" s="39" t="s">
        <v>1620</v>
      </c>
      <c r="G213" s="39">
        <v>28587753</v>
      </c>
      <c r="H213" s="40">
        <v>2020</v>
      </c>
      <c r="I213" s="39">
        <v>8251445.5</v>
      </c>
      <c r="J213" s="27" t="s">
        <v>194</v>
      </c>
      <c r="K213" s="41">
        <v>0.79078268236051996</v>
      </c>
      <c r="L213" s="39">
        <v>8281900.9593590079</v>
      </c>
      <c r="M213" s="39">
        <v>28175250</v>
      </c>
      <c r="N213" s="41">
        <v>0.80532167823469947</v>
      </c>
      <c r="O213" s="39">
        <v>9120460.4705724251</v>
      </c>
      <c r="P213" s="39">
        <v>29081904</v>
      </c>
      <c r="Q213" s="41">
        <v>0.85921344534646471</v>
      </c>
      <c r="R213" s="39">
        <v>10204127.110941621</v>
      </c>
      <c r="S213" s="39">
        <v>30443949</v>
      </c>
      <c r="T213" s="41">
        <v>0.91829455609443988</v>
      </c>
      <c r="U213" s="39">
        <v>11000980.160910277</v>
      </c>
      <c r="V213" s="39">
        <v>31077605</v>
      </c>
      <c r="W213" s="41">
        <v>0.96981963937461668</v>
      </c>
      <c r="X213" s="42">
        <v>0.5</v>
      </c>
      <c r="Y213" s="42">
        <v>0.05</v>
      </c>
      <c r="Z213" s="42">
        <v>0.05</v>
      </c>
      <c r="AA213" s="42">
        <v>0.2</v>
      </c>
      <c r="AB213" s="42">
        <v>0.1</v>
      </c>
      <c r="AC213" s="42"/>
      <c r="AD213" s="42"/>
      <c r="AE213" s="42"/>
      <c r="AF213" s="42"/>
      <c r="AG213" s="42"/>
      <c r="AH213" s="42"/>
      <c r="AI213" s="42"/>
      <c r="AJ213" s="42">
        <v>0.1</v>
      </c>
      <c r="AK213" s="39">
        <v>1100</v>
      </c>
      <c r="AL213" s="39"/>
      <c r="AM213" s="39"/>
      <c r="AN213" s="39">
        <v>303000</v>
      </c>
      <c r="AO213" s="39">
        <v>123157</v>
      </c>
      <c r="AP213" s="39"/>
      <c r="AQ213" s="39"/>
      <c r="AR213" s="39"/>
      <c r="AS213" s="42"/>
      <c r="AT213" s="42"/>
      <c r="AU213" s="42"/>
      <c r="AV213" s="42"/>
      <c r="AW213" s="42"/>
      <c r="AX213" s="42"/>
      <c r="AY213" s="42">
        <v>0.56100000000000005</v>
      </c>
      <c r="AZ213" s="42">
        <v>0.78110000000000002</v>
      </c>
      <c r="BA213" s="42"/>
      <c r="BB213" s="42"/>
      <c r="BC213" s="42"/>
      <c r="BD213" s="42"/>
      <c r="BE213" s="42"/>
      <c r="BF213" s="42"/>
      <c r="BG213" s="42">
        <v>0.78110000000000002</v>
      </c>
      <c r="BH213" s="42"/>
      <c r="BI213" s="42"/>
      <c r="BJ213" s="42"/>
      <c r="BK213" s="42"/>
      <c r="BL213" s="42"/>
      <c r="BM213" s="42"/>
      <c r="BN213" s="42"/>
      <c r="BO213" s="42">
        <v>0.21890000000000001</v>
      </c>
      <c r="BP213" s="42"/>
      <c r="BQ213" s="42"/>
      <c r="BR213" s="42"/>
      <c r="BS213" s="42"/>
      <c r="BT213" s="42"/>
      <c r="BU213" s="42"/>
      <c r="BV213" s="42"/>
      <c r="BW213" s="39"/>
      <c r="BX213" s="39"/>
      <c r="BY213" s="39"/>
      <c r="BZ213" s="39"/>
      <c r="CA213" s="39"/>
      <c r="CB213" s="27" t="s">
        <v>95</v>
      </c>
      <c r="CC213" s="27" t="s">
        <v>95</v>
      </c>
      <c r="CD213" s="27" t="s">
        <v>96</v>
      </c>
      <c r="CE213" s="27" t="s">
        <v>1039</v>
      </c>
      <c r="CF213" s="27" t="s">
        <v>96</v>
      </c>
      <c r="CG213" s="27" t="s">
        <v>95</v>
      </c>
      <c r="CH213" s="27" t="s">
        <v>95</v>
      </c>
      <c r="CI213" s="27" t="s">
        <v>95</v>
      </c>
      <c r="CJ213" s="27" t="s">
        <v>123</v>
      </c>
      <c r="CK213" s="27"/>
      <c r="CL213" s="27"/>
      <c r="CM213" s="27"/>
      <c r="CN213" s="27" t="s">
        <v>96</v>
      </c>
      <c r="CO213" s="27"/>
      <c r="CP213" s="27"/>
      <c r="CQ213" s="27"/>
      <c r="CR213" s="43" t="s">
        <v>96</v>
      </c>
      <c r="CS213" s="43" t="s">
        <v>96</v>
      </c>
      <c r="CT213" s="43" t="s">
        <v>96</v>
      </c>
      <c r="CU213" s="43"/>
      <c r="CV213" s="43"/>
      <c r="CW213" s="43"/>
      <c r="CX213" s="43" t="s">
        <v>96</v>
      </c>
      <c r="CY213" s="43" t="s">
        <v>106</v>
      </c>
      <c r="CZ213" s="43" t="s">
        <v>109</v>
      </c>
      <c r="DA213" s="43" t="s">
        <v>1470</v>
      </c>
      <c r="DB213" s="43"/>
      <c r="DC213" s="43"/>
      <c r="DD213" s="43"/>
      <c r="DE213" s="43"/>
      <c r="DF213" s="43"/>
    </row>
    <row r="214" spans="1:110" ht="14">
      <c r="A214" s="27" t="s">
        <v>1040</v>
      </c>
      <c r="B214" s="47" t="s">
        <v>1712</v>
      </c>
      <c r="C214" s="27" t="s">
        <v>1469</v>
      </c>
      <c r="D214" s="27" t="s">
        <v>1651</v>
      </c>
      <c r="E214" s="27" t="s">
        <v>1651</v>
      </c>
      <c r="F214" s="39">
        <v>239258328381.73999</v>
      </c>
      <c r="G214" s="39">
        <v>92252737</v>
      </c>
      <c r="H214" s="40">
        <v>2015</v>
      </c>
      <c r="I214" s="39">
        <v>19000000</v>
      </c>
      <c r="J214" s="27" t="s">
        <v>94</v>
      </c>
      <c r="K214" s="41">
        <v>0.56426287407112863</v>
      </c>
      <c r="L214" s="39">
        <v>21071803.277012806</v>
      </c>
      <c r="M214" s="39">
        <v>99332219</v>
      </c>
      <c r="N214" s="41">
        <v>0.58119076029326255</v>
      </c>
      <c r="O214" s="39">
        <v>22725549.63774896</v>
      </c>
      <c r="P214" s="39">
        <v>104007727</v>
      </c>
      <c r="Q214" s="41">
        <v>0.59862648310206046</v>
      </c>
      <c r="R214" s="39">
        <v>29161554.260360882</v>
      </c>
      <c r="S214" s="39">
        <v>108275546</v>
      </c>
      <c r="T214" s="41">
        <v>0.73788285682224297</v>
      </c>
      <c r="U214" s="39">
        <v>32946360.59667673</v>
      </c>
      <c r="V214" s="39">
        <v>110020595</v>
      </c>
      <c r="W214" s="41">
        <v>0.82042822650369029</v>
      </c>
      <c r="X214" s="42">
        <v>0.55000000000000004</v>
      </c>
      <c r="Y214" s="42">
        <v>0.03</v>
      </c>
      <c r="Z214" s="42">
        <v>0.06</v>
      </c>
      <c r="AA214" s="42">
        <v>0.05</v>
      </c>
      <c r="AB214" s="42">
        <v>0.1</v>
      </c>
      <c r="AC214" s="42">
        <v>0.04</v>
      </c>
      <c r="AD214" s="42"/>
      <c r="AE214" s="42"/>
      <c r="AF214" s="42"/>
      <c r="AG214" s="42"/>
      <c r="AH214" s="42"/>
      <c r="AI214" s="42"/>
      <c r="AJ214" s="42">
        <v>0.17</v>
      </c>
      <c r="AK214" s="39"/>
      <c r="AL214" s="39"/>
      <c r="AM214" s="39"/>
      <c r="AN214" s="39">
        <v>115000</v>
      </c>
      <c r="AO214" s="39"/>
      <c r="AP214" s="39"/>
      <c r="AQ214" s="39"/>
      <c r="AR214" s="39"/>
      <c r="AS214" s="42"/>
      <c r="AT214" s="42"/>
      <c r="AU214" s="42"/>
      <c r="AV214" s="42">
        <v>0.47499999999999998</v>
      </c>
      <c r="AW214" s="42"/>
      <c r="AX214" s="42"/>
      <c r="AY214" s="42">
        <v>0.75</v>
      </c>
      <c r="AZ214" s="42"/>
      <c r="BA214" s="42"/>
      <c r="BB214" s="42">
        <v>0.85</v>
      </c>
      <c r="BC214" s="42"/>
      <c r="BD214" s="42"/>
      <c r="BE214" s="42"/>
      <c r="BF214" s="42">
        <v>0.15</v>
      </c>
      <c r="BG214" s="42">
        <v>0.32250000000000001</v>
      </c>
      <c r="BH214" s="42"/>
      <c r="BI214" s="42">
        <v>0.03</v>
      </c>
      <c r="BJ214" s="42">
        <v>7.4999999999999997E-2</v>
      </c>
      <c r="BK214" s="42">
        <v>0.105</v>
      </c>
      <c r="BL214" s="42"/>
      <c r="BM214" s="42"/>
      <c r="BN214" s="42">
        <v>6.7500000000000004E-2</v>
      </c>
      <c r="BO214" s="42">
        <v>0.25</v>
      </c>
      <c r="BP214" s="42"/>
      <c r="BQ214" s="42"/>
      <c r="BR214" s="42"/>
      <c r="BS214" s="42"/>
      <c r="BT214" s="42"/>
      <c r="BU214" s="42"/>
      <c r="BV214" s="42"/>
      <c r="BW214" s="39"/>
      <c r="BX214" s="39"/>
      <c r="BY214" s="39"/>
      <c r="BZ214" s="39"/>
      <c r="CA214" s="39"/>
      <c r="CB214" s="27" t="s">
        <v>96</v>
      </c>
      <c r="CC214" s="27" t="s">
        <v>96</v>
      </c>
      <c r="CD214" s="27" t="s">
        <v>96</v>
      </c>
      <c r="CE214" s="27" t="s">
        <v>1042</v>
      </c>
      <c r="CF214" s="27" t="s">
        <v>96</v>
      </c>
      <c r="CG214" s="27" t="s">
        <v>96</v>
      </c>
      <c r="CH214" s="27" t="s">
        <v>96</v>
      </c>
      <c r="CI214" s="27" t="s">
        <v>1043</v>
      </c>
      <c r="CJ214" s="27" t="s">
        <v>1044</v>
      </c>
      <c r="CK214" s="27"/>
      <c r="CL214" s="27" t="s">
        <v>96</v>
      </c>
      <c r="CM214" s="27" t="s">
        <v>1561</v>
      </c>
      <c r="CN214" s="27" t="s">
        <v>96</v>
      </c>
      <c r="CO214" s="27"/>
      <c r="CP214" s="27" t="s">
        <v>96</v>
      </c>
      <c r="CQ214" s="27" t="s">
        <v>1045</v>
      </c>
      <c r="CR214" s="43" t="s">
        <v>96</v>
      </c>
      <c r="CS214" s="43" t="s">
        <v>96</v>
      </c>
      <c r="CT214" s="43" t="s">
        <v>96</v>
      </c>
      <c r="CU214" s="43"/>
      <c r="CV214" s="43" t="s">
        <v>96</v>
      </c>
      <c r="CW214" s="43" t="s">
        <v>96</v>
      </c>
      <c r="CX214" s="43" t="s">
        <v>96</v>
      </c>
      <c r="CY214" s="43" t="s">
        <v>1722</v>
      </c>
      <c r="CZ214" s="43" t="s">
        <v>109</v>
      </c>
      <c r="DA214" s="43" t="s">
        <v>1470</v>
      </c>
      <c r="DB214" s="43"/>
      <c r="DC214" s="43"/>
      <c r="DD214" s="43"/>
      <c r="DE214" s="43"/>
      <c r="DF214" s="43"/>
    </row>
    <row r="215" spans="1:110" ht="14">
      <c r="A215" s="27" t="s">
        <v>1046</v>
      </c>
      <c r="B215" s="27" t="s">
        <v>1714</v>
      </c>
      <c r="C215" s="27" t="s">
        <v>1680</v>
      </c>
      <c r="D215" s="27" t="s">
        <v>122</v>
      </c>
      <c r="E215" s="27" t="s">
        <v>122</v>
      </c>
      <c r="F215" s="39">
        <v>4223000000</v>
      </c>
      <c r="G215" s="39">
        <v>105917</v>
      </c>
      <c r="H215" s="40">
        <v>2011</v>
      </c>
      <c r="I215" s="39">
        <v>146500</v>
      </c>
      <c r="J215" s="27" t="s">
        <v>102</v>
      </c>
      <c r="K215" s="41">
        <v>3.7894753723547558</v>
      </c>
      <c r="L215" s="39">
        <v>109731.55853543521</v>
      </c>
      <c r="M215" s="39">
        <v>86915</v>
      </c>
      <c r="N215" s="41">
        <v>3.4589473272323286</v>
      </c>
      <c r="O215" s="39">
        <v>94742.911870660508</v>
      </c>
      <c r="P215" s="39">
        <v>81140</v>
      </c>
      <c r="Q215" s="41">
        <v>3.1990340345508192</v>
      </c>
      <c r="R215" s="39">
        <v>76263.735318878287</v>
      </c>
      <c r="S215" s="39">
        <v>75819</v>
      </c>
      <c r="T215" s="41">
        <v>2.7557965760517353</v>
      </c>
      <c r="U215" s="39">
        <v>54411.596008689485</v>
      </c>
      <c r="V215" s="39">
        <v>71407</v>
      </c>
      <c r="W215" s="41">
        <v>2.0876505913598313</v>
      </c>
      <c r="X215" s="42">
        <v>8.8999999999999996E-2</v>
      </c>
      <c r="Y215" s="42">
        <v>9.0999999999999998E-2</v>
      </c>
      <c r="Z215" s="42">
        <v>5.3999999999999999E-2</v>
      </c>
      <c r="AA215" s="42">
        <v>0.185</v>
      </c>
      <c r="AB215" s="42">
        <v>0.13600000000000001</v>
      </c>
      <c r="AC215" s="42"/>
      <c r="AD215" s="42">
        <v>7.8E-2</v>
      </c>
      <c r="AE215" s="42">
        <v>6.3E-2</v>
      </c>
      <c r="AF215" s="42">
        <v>4.1000000000000002E-2</v>
      </c>
      <c r="AG215" s="42">
        <v>7.0000000000000001E-3</v>
      </c>
      <c r="AH215" s="42">
        <v>2E-3</v>
      </c>
      <c r="AI215" s="42"/>
      <c r="AJ215" s="42">
        <v>0.254</v>
      </c>
      <c r="AK215" s="39"/>
      <c r="AL215" s="39"/>
      <c r="AM215" s="39"/>
      <c r="AN215" s="39"/>
      <c r="AO215" s="39"/>
      <c r="AP215" s="39"/>
      <c r="AQ215" s="39"/>
      <c r="AR215" s="39"/>
      <c r="AS215" s="42">
        <v>0.70599999999999996</v>
      </c>
      <c r="AT215" s="42">
        <v>0.29399999999999998</v>
      </c>
      <c r="AU215" s="42"/>
      <c r="AV215" s="42"/>
      <c r="AW215" s="42"/>
      <c r="AX215" s="42"/>
      <c r="AY215" s="42"/>
      <c r="AZ215" s="42"/>
      <c r="BA215" s="42"/>
      <c r="BB215" s="42"/>
      <c r="BC215" s="42"/>
      <c r="BD215" s="42"/>
      <c r="BE215" s="42"/>
      <c r="BF215" s="42"/>
      <c r="BG215" s="42"/>
      <c r="BH215" s="42"/>
      <c r="BI215" s="42"/>
      <c r="BJ215" s="42"/>
      <c r="BK215" s="42"/>
      <c r="BL215" s="42"/>
      <c r="BM215" s="42"/>
      <c r="BN215" s="42"/>
      <c r="BO215" s="42"/>
      <c r="BP215" s="42"/>
      <c r="BQ215" s="42"/>
      <c r="BR215" s="42"/>
      <c r="BS215" s="42"/>
      <c r="BT215" s="42"/>
      <c r="BU215" s="42"/>
      <c r="BV215" s="42"/>
      <c r="BW215" s="39"/>
      <c r="BX215" s="39"/>
      <c r="BY215" s="39"/>
      <c r="BZ215" s="39"/>
      <c r="CA215" s="39"/>
      <c r="CB215" s="27" t="s">
        <v>95</v>
      </c>
      <c r="CC215" s="27" t="s">
        <v>95</v>
      </c>
      <c r="CD215" s="27" t="s">
        <v>96</v>
      </c>
      <c r="CE215" s="27" t="s">
        <v>1048</v>
      </c>
      <c r="CF215" s="27" t="s">
        <v>96</v>
      </c>
      <c r="CG215" s="27" t="s">
        <v>96</v>
      </c>
      <c r="CH215" s="27"/>
      <c r="CI215" s="27"/>
      <c r="CJ215" s="27" t="s">
        <v>123</v>
      </c>
      <c r="CK215" s="27"/>
      <c r="CL215" s="27" t="s">
        <v>96</v>
      </c>
      <c r="CM215" s="27" t="s">
        <v>1049</v>
      </c>
      <c r="CN215" s="27" t="s">
        <v>95</v>
      </c>
      <c r="CO215" s="27"/>
      <c r="CP215" s="27" t="s">
        <v>95</v>
      </c>
      <c r="CQ215" s="27"/>
      <c r="CR215" s="43"/>
      <c r="CS215" s="43"/>
      <c r="CT215" s="43"/>
      <c r="CU215" s="43"/>
      <c r="CV215" s="43"/>
      <c r="CW215" s="43"/>
      <c r="CX215" s="43"/>
      <c r="CY215" s="43"/>
      <c r="CZ215" s="43"/>
      <c r="DA215" s="43"/>
      <c r="DB215" s="43"/>
      <c r="DC215" s="43"/>
      <c r="DD215" s="43"/>
      <c r="DE215" s="43"/>
      <c r="DF215" s="43"/>
    </row>
    <row r="216" spans="1:110" ht="15" customHeight="1">
      <c r="A216" s="27" t="s">
        <v>1050</v>
      </c>
      <c r="B216" t="s">
        <v>1715</v>
      </c>
      <c r="C216" s="46" t="s">
        <v>1051</v>
      </c>
      <c r="D216" s="27" t="s">
        <v>1651</v>
      </c>
      <c r="E216" s="27" t="s">
        <v>1650</v>
      </c>
      <c r="F216" s="39">
        <v>17133500000</v>
      </c>
      <c r="G216" s="39">
        <v>4904260</v>
      </c>
      <c r="H216" s="40">
        <v>2019</v>
      </c>
      <c r="I216" s="39">
        <v>1580000</v>
      </c>
      <c r="J216" s="27" t="s">
        <v>94</v>
      </c>
      <c r="K216" s="41">
        <v>0.88265449288734099</v>
      </c>
      <c r="L216" s="39">
        <v>1577724.2939100992</v>
      </c>
      <c r="M216" s="39">
        <v>5242563</v>
      </c>
      <c r="N216" s="41">
        <v>0.82450746172863609</v>
      </c>
      <c r="O216" s="39">
        <v>2150235.4769243333</v>
      </c>
      <c r="P216" s="39">
        <v>6067574</v>
      </c>
      <c r="Q216" s="41">
        <v>0.97090799406196893</v>
      </c>
      <c r="R216" s="39">
        <v>2801190.7783504301</v>
      </c>
      <c r="S216" s="39">
        <v>7230695</v>
      </c>
      <c r="T216" s="41">
        <v>1.0613772650003717</v>
      </c>
      <c r="U216" s="39">
        <v>3514941.5228457297</v>
      </c>
      <c r="V216" s="39">
        <v>8397460</v>
      </c>
      <c r="W216" s="41">
        <v>1.1467725687195662</v>
      </c>
      <c r="X216" s="42">
        <v>0.5</v>
      </c>
      <c r="Y216" s="42">
        <v>1.9E-2</v>
      </c>
      <c r="Z216" s="42">
        <v>2.4E-2</v>
      </c>
      <c r="AA216" s="42">
        <v>0.125</v>
      </c>
      <c r="AB216" s="42">
        <v>0.14599999999999999</v>
      </c>
      <c r="AC216" s="42"/>
      <c r="AD216" s="42"/>
      <c r="AE216" s="42"/>
      <c r="AF216" s="42"/>
      <c r="AG216" s="42"/>
      <c r="AH216" s="42"/>
      <c r="AI216" s="42"/>
      <c r="AJ216" s="42">
        <v>0.186</v>
      </c>
      <c r="AK216" s="39"/>
      <c r="AL216" s="39">
        <v>440000</v>
      </c>
      <c r="AM216" s="39"/>
      <c r="AN216" s="39"/>
      <c r="AO216" s="39">
        <v>62621</v>
      </c>
      <c r="AP216" s="39">
        <v>131344</v>
      </c>
      <c r="AQ216" s="39"/>
      <c r="AR216" s="39">
        <v>3226</v>
      </c>
      <c r="AS216" s="42"/>
      <c r="AT216" s="42"/>
      <c r="AU216" s="42"/>
      <c r="AV216" s="42"/>
      <c r="AW216" s="42">
        <v>0.88</v>
      </c>
      <c r="AX216" s="42"/>
      <c r="AY216" s="42"/>
      <c r="AZ216" s="42"/>
      <c r="BA216" s="42"/>
      <c r="BB216" s="42"/>
      <c r="BC216" s="42">
        <v>0.93</v>
      </c>
      <c r="BD216" s="30">
        <v>0.2944</v>
      </c>
      <c r="BE216" s="30"/>
      <c r="BF216" s="30"/>
      <c r="BG216" s="30">
        <v>0.59800000000000009</v>
      </c>
      <c r="BH216" s="30"/>
      <c r="BI216" s="30"/>
      <c r="BJ216" s="30">
        <v>2.76E-2</v>
      </c>
      <c r="BK216" s="30"/>
      <c r="BL216" s="30"/>
      <c r="BM216" s="30"/>
      <c r="BN216" s="30"/>
      <c r="BO216" s="30">
        <v>7.999999999999996E-2</v>
      </c>
      <c r="BP216" s="42"/>
      <c r="BQ216" s="42"/>
      <c r="BR216" s="42"/>
      <c r="BS216" s="42"/>
      <c r="BT216" s="42"/>
      <c r="BU216" s="42"/>
      <c r="BV216" s="42"/>
      <c r="BW216" s="39"/>
      <c r="BX216" s="39"/>
      <c r="BY216" s="39"/>
      <c r="BZ216" s="39"/>
      <c r="CA216" s="39"/>
      <c r="CB216" s="27" t="s">
        <v>95</v>
      </c>
      <c r="CC216" s="27" t="s">
        <v>96</v>
      </c>
      <c r="CD216" s="27"/>
      <c r="CE216" s="27" t="s">
        <v>1052</v>
      </c>
      <c r="CF216" s="27" t="s">
        <v>96</v>
      </c>
      <c r="CG216" s="27"/>
      <c r="CH216" s="27" t="s">
        <v>96</v>
      </c>
      <c r="CI216" s="27"/>
      <c r="CJ216" s="27" t="s">
        <v>123</v>
      </c>
      <c r="CK216" s="27"/>
      <c r="CL216" s="27" t="s">
        <v>95</v>
      </c>
      <c r="CM216" s="27"/>
      <c r="CN216" s="27" t="s">
        <v>95</v>
      </c>
      <c r="CO216" s="27"/>
      <c r="CP216" s="27" t="s">
        <v>95</v>
      </c>
      <c r="CQ216" s="27"/>
      <c r="CR216" s="43"/>
      <c r="CS216" s="43"/>
      <c r="CT216" s="43"/>
      <c r="CU216" s="43"/>
      <c r="CV216" s="43"/>
      <c r="CW216" s="43"/>
      <c r="CX216" s="43"/>
      <c r="CY216" s="43"/>
      <c r="CZ216" s="43"/>
      <c r="DA216" s="43"/>
      <c r="DB216" s="43"/>
      <c r="DC216" s="43"/>
      <c r="DD216" s="43"/>
      <c r="DE216" s="43"/>
      <c r="DF216" s="43"/>
    </row>
    <row r="217" spans="1:110" ht="15" customHeight="1">
      <c r="A217" s="27" t="s">
        <v>1053</v>
      </c>
      <c r="B217" t="s">
        <v>1715</v>
      </c>
      <c r="C217" s="27" t="s">
        <v>1054</v>
      </c>
      <c r="D217" s="27" t="s">
        <v>1651</v>
      </c>
      <c r="E217" s="27" t="s">
        <v>93</v>
      </c>
      <c r="F217" s="39">
        <v>31317825274.150002</v>
      </c>
      <c r="G217" s="39">
        <v>31624406</v>
      </c>
      <c r="H217" s="40">
        <v>2016</v>
      </c>
      <c r="I217" s="39">
        <v>4409561</v>
      </c>
      <c r="J217" s="27" t="s">
        <v>94</v>
      </c>
      <c r="K217" s="41">
        <v>0.38201473384498957</v>
      </c>
      <c r="L217" s="39">
        <v>5764173.5174843417</v>
      </c>
      <c r="M217" s="39">
        <v>37651414</v>
      </c>
      <c r="N217" s="41">
        <v>0.4194332837615572</v>
      </c>
      <c r="O217" s="39">
        <v>8033878.9722270537</v>
      </c>
      <c r="P217" s="39">
        <v>47084412</v>
      </c>
      <c r="Q217" s="41">
        <v>0.46747164053296469</v>
      </c>
      <c r="R217" s="39">
        <v>11223726.66232927</v>
      </c>
      <c r="S217" s="39">
        <v>58601869</v>
      </c>
      <c r="T217" s="41">
        <v>0.5247262004762353</v>
      </c>
      <c r="U217" s="39">
        <v>14877901.800024221</v>
      </c>
      <c r="V217" s="39">
        <v>70387948</v>
      </c>
      <c r="W217" s="41">
        <v>0.57909593833573481</v>
      </c>
      <c r="X217" s="42">
        <v>0.65</v>
      </c>
      <c r="Y217" s="42">
        <v>0.01</v>
      </c>
      <c r="Z217" s="42">
        <v>0.06</v>
      </c>
      <c r="AA217" s="42">
        <v>7.0000000000000007E-2</v>
      </c>
      <c r="AB217" s="42">
        <v>0.1</v>
      </c>
      <c r="AC217" s="42"/>
      <c r="AD217" s="42"/>
      <c r="AE217" s="42"/>
      <c r="AF217" s="42"/>
      <c r="AG217" s="42">
        <v>7.7999999999999996E-3</v>
      </c>
      <c r="AH217" s="42"/>
      <c r="AI217" s="42"/>
      <c r="AJ217" s="42">
        <v>0.1022</v>
      </c>
      <c r="AK217" s="39"/>
      <c r="AL217" s="39"/>
      <c r="AM217" s="39">
        <v>426632</v>
      </c>
      <c r="AN217" s="39">
        <v>49000</v>
      </c>
      <c r="AO217" s="39">
        <v>20917</v>
      </c>
      <c r="AP217" s="39"/>
      <c r="AQ217" s="39"/>
      <c r="AR217" s="39">
        <v>44770</v>
      </c>
      <c r="AS217" s="42"/>
      <c r="AT217" s="42"/>
      <c r="AU217" s="42"/>
      <c r="AV217" s="42"/>
      <c r="AW217" s="42"/>
      <c r="AX217" s="42"/>
      <c r="AY217" s="42"/>
      <c r="AZ217" s="42">
        <v>0.17699999999999999</v>
      </c>
      <c r="BA217" s="42"/>
      <c r="BB217" s="42"/>
      <c r="BC217" s="42"/>
      <c r="BD217" s="42"/>
      <c r="BE217" s="42"/>
      <c r="BF217" s="42"/>
      <c r="BG217" s="42">
        <v>0.17699999999999999</v>
      </c>
      <c r="BH217" s="42"/>
      <c r="BI217" s="42"/>
      <c r="BJ217" s="42"/>
      <c r="BK217" s="42"/>
      <c r="BL217" s="42"/>
      <c r="BM217" s="42"/>
      <c r="BN217" s="42"/>
      <c r="BO217" s="42">
        <v>0.82299999999999995</v>
      </c>
      <c r="BP217" s="42"/>
      <c r="BQ217" s="42"/>
      <c r="BR217" s="42"/>
      <c r="BS217" s="42"/>
      <c r="BT217" s="42"/>
      <c r="BU217" s="42"/>
      <c r="BV217" s="42"/>
      <c r="BW217" s="39"/>
      <c r="BX217" s="39"/>
      <c r="BY217" s="39">
        <v>78</v>
      </c>
      <c r="BZ217" s="39">
        <v>15</v>
      </c>
      <c r="CA217" s="39">
        <v>23</v>
      </c>
      <c r="CB217" s="27" t="s">
        <v>95</v>
      </c>
      <c r="CC217" s="27" t="s">
        <v>96</v>
      </c>
      <c r="CD217" s="27" t="s">
        <v>96</v>
      </c>
      <c r="CE217" s="27" t="s">
        <v>1055</v>
      </c>
      <c r="CF217" s="27" t="s">
        <v>96</v>
      </c>
      <c r="CG217" s="27" t="s">
        <v>95</v>
      </c>
      <c r="CH217" s="27" t="s">
        <v>95</v>
      </c>
      <c r="CI217" s="27"/>
      <c r="CJ217" s="27" t="s">
        <v>123</v>
      </c>
      <c r="CK217" s="27"/>
      <c r="CL217" s="27" t="s">
        <v>96</v>
      </c>
      <c r="CM217" s="27" t="s">
        <v>1056</v>
      </c>
      <c r="CN217" s="27"/>
      <c r="CO217" s="27"/>
      <c r="CP217" s="27"/>
      <c r="CQ217" s="27"/>
      <c r="CR217" s="43"/>
      <c r="CS217" s="43"/>
      <c r="CT217" s="43"/>
      <c r="CU217" s="43"/>
      <c r="CV217" s="43"/>
      <c r="CW217" s="43"/>
      <c r="CX217" s="43"/>
      <c r="CY217" s="43"/>
      <c r="CZ217" s="43"/>
      <c r="DA217" s="43"/>
      <c r="DB217" s="43"/>
      <c r="DC217" s="43"/>
      <c r="DD217" s="43"/>
      <c r="DE217" s="43"/>
      <c r="DF217" s="43"/>
    </row>
    <row r="218" spans="1:110" ht="15" customHeight="1">
      <c r="A218" s="27" t="s">
        <v>1057</v>
      </c>
      <c r="B218" s="33" t="s">
        <v>1693</v>
      </c>
      <c r="C218" s="27" t="s">
        <v>1058</v>
      </c>
      <c r="D218" s="27" t="s">
        <v>1651</v>
      </c>
      <c r="E218" s="27" t="s">
        <v>1651</v>
      </c>
      <c r="F218" s="39">
        <v>29163782140.490002</v>
      </c>
      <c r="G218" s="39">
        <v>19875494</v>
      </c>
      <c r="H218" s="40">
        <v>2022</v>
      </c>
      <c r="I218" s="39">
        <v>4352733.1859999998</v>
      </c>
      <c r="J218" s="27" t="s">
        <v>102</v>
      </c>
      <c r="K218" s="41">
        <v>0.6</v>
      </c>
      <c r="L218" s="39">
        <v>4352733.1859999998</v>
      </c>
      <c r="M218" s="39">
        <v>19875494</v>
      </c>
      <c r="N218" s="41">
        <v>0.6</v>
      </c>
      <c r="O218" s="39">
        <v>6357148.6841658223</v>
      </c>
      <c r="P218" s="39">
        <v>24705621</v>
      </c>
      <c r="Q218" s="41">
        <v>0.70497502208276208</v>
      </c>
      <c r="R218" s="39">
        <v>10059761.070504393</v>
      </c>
      <c r="S218" s="39">
        <v>31222450</v>
      </c>
      <c r="T218" s="41">
        <v>0.88272987014979964</v>
      </c>
      <c r="U218" s="39">
        <v>15073019.98743389</v>
      </c>
      <c r="V218" s="39">
        <v>37760282</v>
      </c>
      <c r="W218" s="41">
        <v>1.0936344482557558</v>
      </c>
      <c r="X218" s="42">
        <v>0.51</v>
      </c>
      <c r="Y218" s="42">
        <v>0.04</v>
      </c>
      <c r="Z218" s="42">
        <v>0.09</v>
      </c>
      <c r="AA218" s="42">
        <v>0.06</v>
      </c>
      <c r="AB218" s="42">
        <v>0.14000000000000001</v>
      </c>
      <c r="AC218" s="42"/>
      <c r="AD218" s="42"/>
      <c r="AE218" s="42"/>
      <c r="AF218" s="42">
        <v>0.04</v>
      </c>
      <c r="AG218" s="42"/>
      <c r="AH218" s="42"/>
      <c r="AI218" s="42"/>
      <c r="AJ218" s="42">
        <v>0.12</v>
      </c>
      <c r="AK218" s="39"/>
      <c r="AL218" s="39"/>
      <c r="AM218" s="39"/>
      <c r="AN218" s="39">
        <v>23000</v>
      </c>
      <c r="AO218" s="39">
        <v>80000</v>
      </c>
      <c r="AP218" s="39"/>
      <c r="AQ218" s="39"/>
      <c r="AR218" s="39">
        <v>10929.414000000001</v>
      </c>
      <c r="AS218" s="42"/>
      <c r="AT218" s="42"/>
      <c r="AU218" s="42"/>
      <c r="AV218" s="42"/>
      <c r="AW218" s="42">
        <v>2E-3</v>
      </c>
      <c r="AX218" s="42">
        <v>0.59</v>
      </c>
      <c r="AY218" s="42">
        <v>0.2</v>
      </c>
      <c r="AZ218" s="42">
        <v>6.3E-2</v>
      </c>
      <c r="BA218" s="42"/>
      <c r="BB218" s="42"/>
      <c r="BC218" s="42">
        <v>0.14399999999999999</v>
      </c>
      <c r="BD218" s="42"/>
      <c r="BE218" s="42"/>
      <c r="BF218" s="42"/>
      <c r="BG218" s="42"/>
      <c r="BH218" s="42"/>
      <c r="BI218" s="42"/>
      <c r="BJ218" s="42">
        <v>0.06</v>
      </c>
      <c r="BK218" s="42"/>
      <c r="BL218" s="42"/>
      <c r="BM218" s="42"/>
      <c r="BN218" s="42"/>
      <c r="BO218" s="42"/>
      <c r="BP218" s="42">
        <v>0.94</v>
      </c>
      <c r="BQ218" s="42">
        <v>0.99573105656350003</v>
      </c>
      <c r="BR218" s="42">
        <v>0</v>
      </c>
      <c r="BS218" s="42"/>
      <c r="BT218" s="42"/>
      <c r="BU218" s="42"/>
      <c r="BV218" s="42">
        <v>3.2017075773746002E-3</v>
      </c>
      <c r="BW218" s="39"/>
      <c r="BX218" s="39"/>
      <c r="BY218" s="39"/>
      <c r="BZ218" s="39"/>
      <c r="CA218" s="39"/>
      <c r="CB218" s="27" t="s">
        <v>95</v>
      </c>
      <c r="CC218" s="27" t="s">
        <v>96</v>
      </c>
      <c r="CD218" s="27" t="s">
        <v>96</v>
      </c>
      <c r="CE218" s="27" t="s">
        <v>1059</v>
      </c>
      <c r="CF218" s="27" t="s">
        <v>96</v>
      </c>
      <c r="CG218" s="27" t="s">
        <v>96</v>
      </c>
      <c r="CH218" s="27" t="s">
        <v>95</v>
      </c>
      <c r="CI218" s="27"/>
      <c r="CJ218" s="27" t="s">
        <v>1648</v>
      </c>
      <c r="CK218" s="27"/>
      <c r="CL218" s="27"/>
      <c r="CM218" s="27"/>
      <c r="CN218" s="27" t="s">
        <v>96</v>
      </c>
      <c r="CO218" s="27"/>
      <c r="CP218" s="27"/>
      <c r="CQ218" s="27"/>
      <c r="CR218" s="43" t="s">
        <v>96</v>
      </c>
      <c r="CS218" s="43" t="s">
        <v>96</v>
      </c>
      <c r="CT218" s="43" t="s">
        <v>96</v>
      </c>
      <c r="CU218" s="43"/>
      <c r="CV218" s="43" t="s">
        <v>96</v>
      </c>
      <c r="CW218" s="43" t="s">
        <v>96</v>
      </c>
      <c r="CX218" s="43" t="s">
        <v>96</v>
      </c>
      <c r="CY218" s="43" t="s">
        <v>1723</v>
      </c>
      <c r="CZ218" s="43" t="s">
        <v>109</v>
      </c>
      <c r="DA218" s="43" t="s">
        <v>1470</v>
      </c>
      <c r="DB218" s="43"/>
      <c r="DC218" s="43"/>
      <c r="DD218" s="43"/>
      <c r="DE218" s="43"/>
      <c r="DF218" s="43"/>
    </row>
    <row r="219" spans="1:110" ht="15" customHeight="1">
      <c r="A219" s="27" t="s">
        <v>1060</v>
      </c>
      <c r="B219" s="33" t="s">
        <v>1693</v>
      </c>
      <c r="C219" s="27" t="s">
        <v>1061</v>
      </c>
      <c r="D219" s="27" t="s">
        <v>1651</v>
      </c>
      <c r="E219" s="27" t="s">
        <v>1651</v>
      </c>
      <c r="F219" s="39">
        <v>26868564055</v>
      </c>
      <c r="G219" s="39">
        <v>15394209</v>
      </c>
      <c r="H219" s="40">
        <v>2020</v>
      </c>
      <c r="I219" s="39">
        <v>2500000</v>
      </c>
      <c r="J219" s="27" t="s">
        <v>94</v>
      </c>
      <c r="K219" s="41">
        <v>0.44492802900708639</v>
      </c>
      <c r="L219" s="39">
        <v>2665433.7290080967</v>
      </c>
      <c r="M219" s="39">
        <v>15934852</v>
      </c>
      <c r="N219" s="41">
        <v>0.45827586987729901</v>
      </c>
      <c r="O219" s="39">
        <v>3599993.923684895</v>
      </c>
      <c r="P219" s="39">
        <v>18439188</v>
      </c>
      <c r="Q219" s="41">
        <v>0.53489324210976608</v>
      </c>
      <c r="R219" s="39">
        <v>5246262.3057803577</v>
      </c>
      <c r="S219" s="39">
        <v>22064650</v>
      </c>
      <c r="T219" s="41">
        <v>0.6514185081430981</v>
      </c>
      <c r="U219" s="39">
        <v>7260977.2986808382</v>
      </c>
      <c r="V219" s="39">
        <v>25691689</v>
      </c>
      <c r="W219" s="41">
        <v>0.77430053312324243</v>
      </c>
      <c r="X219" s="42">
        <v>0.44688</v>
      </c>
      <c r="Y219" s="42">
        <v>4.2250000000000003E-2</v>
      </c>
      <c r="Z219" s="42">
        <v>4.5499999999999999E-2</v>
      </c>
      <c r="AA219" s="42">
        <v>0.16164999999999999</v>
      </c>
      <c r="AB219" s="42">
        <v>0.15361</v>
      </c>
      <c r="AC219" s="42"/>
      <c r="AD219" s="42"/>
      <c r="AE219" s="42"/>
      <c r="AF219" s="42">
        <v>3.7551000000000001E-2</v>
      </c>
      <c r="AG219" s="42"/>
      <c r="AH219" s="42"/>
      <c r="AI219" s="42"/>
      <c r="AJ219" s="42">
        <v>0.11255900000000001</v>
      </c>
      <c r="AK219" s="39"/>
      <c r="AL219" s="39">
        <v>2588.6999999999998</v>
      </c>
      <c r="AM219" s="39">
        <v>688.4</v>
      </c>
      <c r="AN219" s="39">
        <v>17000</v>
      </c>
      <c r="AO219" s="39"/>
      <c r="AP219" s="39">
        <v>5399.4</v>
      </c>
      <c r="AQ219" s="39">
        <v>13.4</v>
      </c>
      <c r="AR219" s="39"/>
      <c r="AS219" s="42"/>
      <c r="AT219" s="42"/>
      <c r="AU219" s="42"/>
      <c r="AV219" s="42"/>
      <c r="AW219" s="42"/>
      <c r="AX219" s="42">
        <v>0.63900000000000001</v>
      </c>
      <c r="AY219" s="42">
        <v>0.79300000000000004</v>
      </c>
      <c r="AZ219" s="42"/>
      <c r="BA219" s="42"/>
      <c r="BB219" s="42"/>
      <c r="BC219" s="42"/>
      <c r="BD219" s="42"/>
      <c r="BE219" s="42"/>
      <c r="BF219" s="42"/>
      <c r="BG219" s="42"/>
      <c r="BH219" s="42"/>
      <c r="BI219" s="42"/>
      <c r="BJ219" s="42"/>
      <c r="BK219" s="42"/>
      <c r="BL219" s="42"/>
      <c r="BM219" s="42"/>
      <c r="BN219" s="42"/>
      <c r="BO219" s="42"/>
      <c r="BP219" s="42"/>
      <c r="BQ219" s="42"/>
      <c r="BR219" s="42"/>
      <c r="BS219" s="42"/>
      <c r="BT219" s="42"/>
      <c r="BU219" s="42"/>
      <c r="BV219" s="42"/>
      <c r="BW219" s="39"/>
      <c r="BX219" s="39"/>
      <c r="BY219" s="39"/>
      <c r="BZ219" s="39"/>
      <c r="CA219" s="39"/>
      <c r="CB219" s="27" t="s">
        <v>95</v>
      </c>
      <c r="CC219" s="27" t="s">
        <v>96</v>
      </c>
      <c r="CD219" s="27" t="s">
        <v>96</v>
      </c>
      <c r="CE219" s="27" t="s">
        <v>1062</v>
      </c>
      <c r="CF219" s="27" t="s">
        <v>96</v>
      </c>
      <c r="CG219" s="27" t="s">
        <v>96</v>
      </c>
      <c r="CH219" s="27" t="s">
        <v>95</v>
      </c>
      <c r="CI219" s="27" t="s">
        <v>95</v>
      </c>
      <c r="CJ219" s="27" t="s">
        <v>1063</v>
      </c>
      <c r="CK219" s="27"/>
      <c r="CL219" s="27" t="s">
        <v>96</v>
      </c>
      <c r="CM219" s="43" t="s">
        <v>1064</v>
      </c>
      <c r="CN219" s="27" t="s">
        <v>95</v>
      </c>
      <c r="CO219" s="27"/>
      <c r="CP219" s="27" t="s">
        <v>96</v>
      </c>
      <c r="CQ219" s="43" t="s">
        <v>1064</v>
      </c>
      <c r="CR219" s="43" t="s">
        <v>96</v>
      </c>
      <c r="CS219" s="43" t="s">
        <v>96</v>
      </c>
      <c r="CT219" s="43" t="s">
        <v>96</v>
      </c>
      <c r="CU219" s="43"/>
      <c r="CV219" s="43"/>
      <c r="CW219" s="43"/>
      <c r="CX219" s="43"/>
      <c r="CY219" s="43" t="s">
        <v>106</v>
      </c>
      <c r="CZ219" s="43" t="s">
        <v>198</v>
      </c>
      <c r="DA219" s="43" t="s">
        <v>107</v>
      </c>
      <c r="DB219" s="43"/>
      <c r="DC219" s="43"/>
      <c r="DD219" s="43"/>
      <c r="DE219" s="43"/>
      <c r="DF219" s="43"/>
    </row>
  </sheetData>
  <autoFilter ref="A2:DF222"/>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U222"/>
  <sheetViews>
    <sheetView workbookViewId="0"/>
  </sheetViews>
  <sheetFormatPr defaultColWidth="8.6640625" defaultRowHeight="12" customHeight="1"/>
  <cols>
    <col min="1" max="3" width="10.33203125" customWidth="1"/>
    <col min="4" max="4" width="12.5" customWidth="1"/>
    <col min="5" max="5" width="24.33203125" customWidth="1"/>
    <col min="6" max="6" width="18.5" customWidth="1"/>
    <col min="7" max="12" width="24.33203125" customWidth="1"/>
    <col min="13" max="13" width="28.83203125" customWidth="1"/>
    <col min="14" max="14" width="27.6640625" customWidth="1"/>
    <col min="15" max="15" width="20.33203125" customWidth="1"/>
    <col min="16" max="16" width="51.1640625" customWidth="1"/>
    <col min="17" max="20" width="20.33203125" customWidth="1"/>
  </cols>
  <sheetData>
    <row r="1" spans="1:21" ht="12" customHeight="1">
      <c r="A1" t="s">
        <v>1257</v>
      </c>
      <c r="G1" t="s">
        <v>1258</v>
      </c>
    </row>
    <row r="2" spans="1:21" ht="28.25" customHeight="1">
      <c r="A2" s="3" t="s">
        <v>0</v>
      </c>
      <c r="B2" s="3"/>
      <c r="C2" s="3"/>
      <c r="D2" s="3" t="s">
        <v>1</v>
      </c>
      <c r="E2" s="3" t="s">
        <v>2</v>
      </c>
      <c r="F2" s="4" t="s">
        <v>1259</v>
      </c>
      <c r="G2" s="3" t="s">
        <v>1260</v>
      </c>
      <c r="H2" s="3" t="s">
        <v>1261</v>
      </c>
      <c r="I2" s="3" t="s">
        <v>1262</v>
      </c>
      <c r="J2" s="3" t="s">
        <v>1263</v>
      </c>
      <c r="K2" s="3" t="s">
        <v>1264</v>
      </c>
      <c r="L2" s="3" t="s">
        <v>1265</v>
      </c>
      <c r="M2" s="3" t="s">
        <v>1266</v>
      </c>
      <c r="N2" s="3" t="s">
        <v>1267</v>
      </c>
      <c r="O2" s="3" t="s">
        <v>1268</v>
      </c>
      <c r="P2" s="3" t="s">
        <v>1065</v>
      </c>
      <c r="Q2" s="3" t="s">
        <v>1066</v>
      </c>
      <c r="R2" s="3" t="s">
        <v>1067</v>
      </c>
      <c r="S2" s="3" t="s">
        <v>1269</v>
      </c>
      <c r="T2" s="3" t="s">
        <v>1068</v>
      </c>
      <c r="U2" s="5" t="s">
        <v>1270</v>
      </c>
    </row>
    <row r="3" spans="1:21" ht="18" customHeight="1">
      <c r="A3" s="6" t="s">
        <v>90</v>
      </c>
      <c r="B3" s="6" t="e">
        <f>_xlfn.XLOOKUP(E3,#REF!,#REF!)</f>
        <v>#REF!</v>
      </c>
      <c r="C3" s="6" t="e">
        <f t="shared" ref="C3:C66" si="0">A3=B3</f>
        <v>#REF!</v>
      </c>
      <c r="D3" s="7" t="s">
        <v>91</v>
      </c>
      <c r="E3" s="7" t="s">
        <v>92</v>
      </c>
      <c r="F3" s="7" t="s">
        <v>95</v>
      </c>
      <c r="G3" s="7" t="s">
        <v>95</v>
      </c>
      <c r="H3" s="7" t="s">
        <v>95</v>
      </c>
      <c r="I3" s="7" t="s">
        <v>95</v>
      </c>
      <c r="J3" s="7" t="s">
        <v>95</v>
      </c>
      <c r="K3" s="7" t="s">
        <v>95</v>
      </c>
      <c r="L3" s="7" t="s">
        <v>95</v>
      </c>
      <c r="M3" s="7"/>
      <c r="N3" s="7"/>
      <c r="O3" s="7"/>
      <c r="P3" s="7"/>
      <c r="Q3" s="7"/>
      <c r="R3" s="7"/>
      <c r="S3" s="7"/>
      <c r="T3" s="7"/>
    </row>
    <row r="4" spans="1:21" ht="17" customHeight="1">
      <c r="A4" s="8" t="s">
        <v>99</v>
      </c>
      <c r="B4" s="6" t="e">
        <f>_xlfn.XLOOKUP(E4,#REF!,#REF!)</f>
        <v>#REF!</v>
      </c>
      <c r="C4" s="6" t="e">
        <f t="shared" si="0"/>
        <v>#REF!</v>
      </c>
      <c r="D4" s="7" t="s">
        <v>100</v>
      </c>
      <c r="E4" s="8" t="s">
        <v>101</v>
      </c>
      <c r="F4" s="7" t="s">
        <v>96</v>
      </c>
      <c r="G4" s="7" t="s">
        <v>96</v>
      </c>
      <c r="H4" s="7" t="s">
        <v>96</v>
      </c>
      <c r="I4" s="7" t="s">
        <v>96</v>
      </c>
      <c r="J4" s="7" t="s">
        <v>95</v>
      </c>
      <c r="K4" s="7" t="s">
        <v>95</v>
      </c>
      <c r="L4" s="7" t="s">
        <v>96</v>
      </c>
      <c r="M4" s="7" t="s">
        <v>108</v>
      </c>
      <c r="N4" s="7" t="s">
        <v>109</v>
      </c>
      <c r="O4" s="7" t="s">
        <v>110</v>
      </c>
      <c r="P4" s="9" t="s">
        <v>1271</v>
      </c>
      <c r="Q4" s="7" t="s">
        <v>1094</v>
      </c>
      <c r="R4" s="10" t="s">
        <v>1109</v>
      </c>
      <c r="S4" s="11">
        <v>45693</v>
      </c>
      <c r="T4" s="7" t="s">
        <v>1074</v>
      </c>
    </row>
    <row r="5" spans="1:21" ht="17" customHeight="1">
      <c r="A5" s="8" t="s">
        <v>111</v>
      </c>
      <c r="B5" s="6" t="e">
        <f>_xlfn.XLOOKUP(E5,#REF!,#REF!)</f>
        <v>#REF!</v>
      </c>
      <c r="C5" s="6" t="e">
        <f t="shared" si="0"/>
        <v>#REF!</v>
      </c>
      <c r="D5" s="7" t="s">
        <v>112</v>
      </c>
      <c r="E5" s="8" t="s">
        <v>113</v>
      </c>
      <c r="F5" s="7" t="s">
        <v>96</v>
      </c>
      <c r="G5" s="7" t="s">
        <v>96</v>
      </c>
      <c r="H5" s="7" t="s">
        <v>95</v>
      </c>
      <c r="I5" s="7" t="s">
        <v>95</v>
      </c>
      <c r="J5" s="7" t="s">
        <v>95</v>
      </c>
      <c r="K5" s="7" t="s">
        <v>95</v>
      </c>
      <c r="L5" s="7" t="s">
        <v>95</v>
      </c>
      <c r="M5" s="7"/>
      <c r="N5" s="7" t="s">
        <v>118</v>
      </c>
      <c r="O5" s="7" t="s">
        <v>110</v>
      </c>
      <c r="P5" s="7" t="s">
        <v>1272</v>
      </c>
      <c r="Q5" s="7"/>
      <c r="R5" s="12" t="s">
        <v>1204</v>
      </c>
      <c r="S5" s="11">
        <v>45730</v>
      </c>
      <c r="T5" s="7"/>
    </row>
    <row r="6" spans="1:21" ht="17" customHeight="1">
      <c r="A6" s="6" t="s">
        <v>119</v>
      </c>
      <c r="B6" s="6" t="e">
        <f>_xlfn.XLOOKUP(E6,#REF!,#REF!)</f>
        <v>#REF!</v>
      </c>
      <c r="C6" s="6" t="e">
        <f t="shared" si="0"/>
        <v>#REF!</v>
      </c>
      <c r="D6" s="7" t="s">
        <v>120</v>
      </c>
      <c r="E6" s="7" t="s">
        <v>121</v>
      </c>
      <c r="F6" s="7" t="s">
        <v>95</v>
      </c>
      <c r="G6" s="7" t="s">
        <v>95</v>
      </c>
      <c r="H6" s="7" t="s">
        <v>95</v>
      </c>
      <c r="I6" s="7" t="s">
        <v>95</v>
      </c>
      <c r="J6" s="7" t="s">
        <v>95</v>
      </c>
      <c r="K6" s="7" t="s">
        <v>95</v>
      </c>
      <c r="L6" s="7" t="s">
        <v>95</v>
      </c>
      <c r="M6" s="7"/>
      <c r="N6" s="7"/>
      <c r="O6" s="7"/>
      <c r="P6" s="7"/>
      <c r="Q6" s="7"/>
      <c r="R6" s="1"/>
      <c r="S6" s="11"/>
      <c r="T6" s="7"/>
    </row>
    <row r="7" spans="1:21" ht="15" customHeight="1">
      <c r="A7" s="6" t="s">
        <v>125</v>
      </c>
      <c r="B7" s="6" t="e">
        <f>_xlfn.XLOOKUP(E7,#REF!,#REF!)</f>
        <v>#REF!</v>
      </c>
      <c r="C7" s="6" t="e">
        <f t="shared" si="0"/>
        <v>#REF!</v>
      </c>
      <c r="D7" s="7" t="s">
        <v>100</v>
      </c>
      <c r="E7" s="7" t="s">
        <v>126</v>
      </c>
      <c r="F7" s="7" t="s">
        <v>95</v>
      </c>
      <c r="G7" s="7" t="s">
        <v>95</v>
      </c>
      <c r="H7" s="7" t="s">
        <v>95</v>
      </c>
      <c r="I7" s="7" t="s">
        <v>95</v>
      </c>
      <c r="J7" s="7" t="s">
        <v>95</v>
      </c>
      <c r="K7" s="7" t="s">
        <v>95</v>
      </c>
      <c r="L7" s="7" t="s">
        <v>95</v>
      </c>
      <c r="M7" s="7"/>
      <c r="N7" s="7"/>
      <c r="O7" s="7"/>
      <c r="P7" s="7"/>
      <c r="Q7" s="7"/>
      <c r="R7" s="7"/>
      <c r="S7" s="7"/>
      <c r="T7" s="7"/>
    </row>
    <row r="8" spans="1:21" ht="16.25" customHeight="1">
      <c r="A8" s="6" t="s">
        <v>131</v>
      </c>
      <c r="B8" s="6" t="e">
        <f>_xlfn.XLOOKUP(E8,#REF!,#REF!)</f>
        <v>#REF!</v>
      </c>
      <c r="C8" s="6" t="e">
        <f t="shared" si="0"/>
        <v>#REF!</v>
      </c>
      <c r="D8" s="7" t="s">
        <v>132</v>
      </c>
      <c r="E8" s="7" t="s">
        <v>133</v>
      </c>
      <c r="F8" s="7" t="s">
        <v>95</v>
      </c>
      <c r="G8" s="7" t="s">
        <v>95</v>
      </c>
      <c r="H8" s="7" t="s">
        <v>95</v>
      </c>
      <c r="I8" s="7" t="s">
        <v>95</v>
      </c>
      <c r="J8" s="7" t="s">
        <v>95</v>
      </c>
      <c r="K8" s="7" t="s">
        <v>95</v>
      </c>
      <c r="L8" s="7" t="s">
        <v>95</v>
      </c>
      <c r="M8" s="7"/>
      <c r="N8" s="7"/>
      <c r="O8" s="7"/>
      <c r="P8" s="7"/>
      <c r="Q8" s="7"/>
      <c r="R8" s="7"/>
      <c r="S8" s="7"/>
      <c r="T8" s="7"/>
    </row>
    <row r="9" spans="1:21" ht="15" customHeight="1">
      <c r="A9" s="6" t="s">
        <v>136</v>
      </c>
      <c r="B9" s="6" t="e">
        <f>_xlfn.XLOOKUP(E9,#REF!,#REF!)</f>
        <v>#REF!</v>
      </c>
      <c r="C9" s="6" t="e">
        <f t="shared" si="0"/>
        <v>#REF!</v>
      </c>
      <c r="D9" s="7" t="s">
        <v>137</v>
      </c>
      <c r="E9" s="7" t="s">
        <v>138</v>
      </c>
      <c r="F9" s="7" t="s">
        <v>95</v>
      </c>
      <c r="G9" s="7" t="s">
        <v>95</v>
      </c>
      <c r="H9" s="7" t="s">
        <v>95</v>
      </c>
      <c r="I9" s="7" t="s">
        <v>95</v>
      </c>
      <c r="J9" s="7" t="s">
        <v>95</v>
      </c>
      <c r="K9" s="7" t="s">
        <v>95</v>
      </c>
      <c r="L9" s="7" t="s">
        <v>95</v>
      </c>
      <c r="M9" s="7"/>
      <c r="N9" s="7"/>
      <c r="O9" s="7"/>
      <c r="P9" s="7"/>
      <c r="Q9" s="7"/>
      <c r="R9" s="12"/>
      <c r="S9" s="11"/>
      <c r="T9" s="7"/>
    </row>
    <row r="10" spans="1:21" ht="12" customHeight="1">
      <c r="A10" s="8" t="s">
        <v>141</v>
      </c>
      <c r="B10" s="6" t="e">
        <f>_xlfn.XLOOKUP(E10,#REF!,#REF!)</f>
        <v>#REF!</v>
      </c>
      <c r="C10" s="6" t="e">
        <f t="shared" si="0"/>
        <v>#REF!</v>
      </c>
      <c r="D10" s="7" t="s">
        <v>137</v>
      </c>
      <c r="E10" s="8" t="s">
        <v>142</v>
      </c>
      <c r="F10" s="7" t="s">
        <v>96</v>
      </c>
      <c r="G10" s="7" t="s">
        <v>96</v>
      </c>
      <c r="H10" s="7" t="s">
        <v>95</v>
      </c>
      <c r="I10" s="7" t="s">
        <v>95</v>
      </c>
      <c r="J10" s="7" t="s">
        <v>95</v>
      </c>
      <c r="K10" s="7" t="s">
        <v>95</v>
      </c>
      <c r="L10" s="7" t="s">
        <v>96</v>
      </c>
      <c r="M10" s="7" t="s">
        <v>108</v>
      </c>
      <c r="N10" s="7" t="s">
        <v>109</v>
      </c>
      <c r="O10" s="7" t="s">
        <v>110</v>
      </c>
      <c r="P10" s="7" t="s">
        <v>1273</v>
      </c>
      <c r="Q10" s="7" t="s">
        <v>1094</v>
      </c>
      <c r="R10" s="12" t="s">
        <v>1170</v>
      </c>
      <c r="S10" s="11">
        <v>45744</v>
      </c>
      <c r="T10" s="7" t="s">
        <v>1169</v>
      </c>
      <c r="U10" s="13" t="s">
        <v>1274</v>
      </c>
    </row>
    <row r="11" spans="1:21" ht="16.25" customHeight="1">
      <c r="A11" s="8" t="s">
        <v>145</v>
      </c>
      <c r="B11" s="6" t="e">
        <f>_xlfn.XLOOKUP(E11,#REF!,#REF!)</f>
        <v>#REF!</v>
      </c>
      <c r="C11" s="6" t="e">
        <f t="shared" si="0"/>
        <v>#REF!</v>
      </c>
      <c r="D11" s="7" t="s">
        <v>100</v>
      </c>
      <c r="E11" s="8" t="s">
        <v>146</v>
      </c>
      <c r="F11" s="7" t="s">
        <v>96</v>
      </c>
      <c r="G11" s="7" t="s">
        <v>96</v>
      </c>
      <c r="H11" s="7" t="s">
        <v>95</v>
      </c>
      <c r="I11" s="7" t="s">
        <v>95</v>
      </c>
      <c r="J11" s="7" t="s">
        <v>95</v>
      </c>
      <c r="K11" s="7" t="s">
        <v>95</v>
      </c>
      <c r="L11" s="7" t="s">
        <v>95</v>
      </c>
      <c r="M11" s="7" t="s">
        <v>106</v>
      </c>
      <c r="N11" s="7" t="s">
        <v>148</v>
      </c>
      <c r="O11" s="7" t="s">
        <v>149</v>
      </c>
      <c r="P11" s="14" t="s">
        <v>1275</v>
      </c>
      <c r="Q11" s="7"/>
      <c r="R11" s="14" t="s">
        <v>1110</v>
      </c>
      <c r="S11" s="11">
        <v>45730</v>
      </c>
      <c r="T11" s="7"/>
    </row>
    <row r="12" spans="1:21" ht="18" customHeight="1">
      <c r="A12" s="6" t="s">
        <v>150</v>
      </c>
      <c r="B12" s="6" t="e">
        <f>_xlfn.XLOOKUP(E12,#REF!,#REF!)</f>
        <v>#REF!</v>
      </c>
      <c r="C12" s="6" t="e">
        <f t="shared" si="0"/>
        <v>#REF!</v>
      </c>
      <c r="D12" s="7" t="s">
        <v>137</v>
      </c>
      <c r="E12" s="7" t="s">
        <v>151</v>
      </c>
      <c r="F12" s="7" t="s">
        <v>95</v>
      </c>
      <c r="G12" s="7" t="s">
        <v>95</v>
      </c>
      <c r="H12" s="7" t="s">
        <v>95</v>
      </c>
      <c r="I12" s="7" t="s">
        <v>95</v>
      </c>
      <c r="J12" s="7" t="s">
        <v>95</v>
      </c>
      <c r="K12" s="7" t="s">
        <v>95</v>
      </c>
      <c r="L12" s="7" t="s">
        <v>95</v>
      </c>
      <c r="M12" s="7"/>
      <c r="N12" s="7"/>
      <c r="O12" s="7"/>
      <c r="P12" s="7"/>
      <c r="Q12" s="7"/>
      <c r="R12" s="7"/>
      <c r="S12" s="7"/>
      <c r="T12" s="7"/>
    </row>
    <row r="13" spans="1:21" ht="18" customHeight="1">
      <c r="A13" s="8" t="s">
        <v>155</v>
      </c>
      <c r="B13" s="6" t="e">
        <f>_xlfn.XLOOKUP(E13,#REF!,#REF!)</f>
        <v>#REF!</v>
      </c>
      <c r="C13" s="6" t="e">
        <f t="shared" si="0"/>
        <v>#REF!</v>
      </c>
      <c r="D13" s="7" t="s">
        <v>120</v>
      </c>
      <c r="E13" s="8" t="s">
        <v>156</v>
      </c>
      <c r="F13" s="7" t="s">
        <v>96</v>
      </c>
      <c r="G13" s="7" t="s">
        <v>95</v>
      </c>
      <c r="H13" s="7" t="s">
        <v>96</v>
      </c>
      <c r="I13" s="7" t="s">
        <v>95</v>
      </c>
      <c r="J13" s="7" t="s">
        <v>95</v>
      </c>
      <c r="K13" s="7" t="s">
        <v>95</v>
      </c>
      <c r="L13" s="7" t="s">
        <v>95</v>
      </c>
      <c r="M13" s="7" t="s">
        <v>108</v>
      </c>
      <c r="N13" s="7" t="s">
        <v>109</v>
      </c>
      <c r="O13" s="7" t="s">
        <v>110</v>
      </c>
      <c r="P13" s="7" t="s">
        <v>1276</v>
      </c>
      <c r="Q13" s="7" t="s">
        <v>1094</v>
      </c>
      <c r="R13" s="15" t="s">
        <v>1071</v>
      </c>
      <c r="S13" s="11">
        <v>45694</v>
      </c>
      <c r="T13" s="7"/>
    </row>
    <row r="14" spans="1:21" ht="14" customHeight="1">
      <c r="A14" s="8" t="s">
        <v>163</v>
      </c>
      <c r="B14" s="6" t="e">
        <f>_xlfn.XLOOKUP(E14,#REF!,#REF!)</f>
        <v>#REF!</v>
      </c>
      <c r="C14" s="6" t="e">
        <f t="shared" si="0"/>
        <v>#REF!</v>
      </c>
      <c r="D14" s="7" t="s">
        <v>100</v>
      </c>
      <c r="E14" s="8" t="s">
        <v>164</v>
      </c>
      <c r="F14" s="7" t="s">
        <v>96</v>
      </c>
      <c r="G14" s="7" t="s">
        <v>96</v>
      </c>
      <c r="H14" s="7" t="s">
        <v>96</v>
      </c>
      <c r="I14" s="7" t="s">
        <v>96</v>
      </c>
      <c r="J14" s="7" t="s">
        <v>95</v>
      </c>
      <c r="K14" s="7" t="s">
        <v>96</v>
      </c>
      <c r="L14" s="7" t="s">
        <v>96</v>
      </c>
      <c r="M14" s="7" t="s">
        <v>108</v>
      </c>
      <c r="N14" s="7" t="s">
        <v>109</v>
      </c>
      <c r="O14" s="7" t="s">
        <v>110</v>
      </c>
      <c r="P14" s="7" t="s">
        <v>1277</v>
      </c>
      <c r="Q14" s="7" t="s">
        <v>1094</v>
      </c>
      <c r="R14" s="10" t="s">
        <v>1111</v>
      </c>
      <c r="S14" s="11">
        <v>45760</v>
      </c>
      <c r="T14" s="7" t="s">
        <v>1074</v>
      </c>
    </row>
    <row r="15" spans="1:21" ht="15" customHeight="1">
      <c r="A15" s="8" t="s">
        <v>169</v>
      </c>
      <c r="B15" s="6" t="e">
        <f>_xlfn.XLOOKUP(E15,#REF!,#REF!)</f>
        <v>#REF!</v>
      </c>
      <c r="C15" s="6" t="e">
        <f t="shared" si="0"/>
        <v>#REF!</v>
      </c>
      <c r="D15" s="7" t="s">
        <v>100</v>
      </c>
      <c r="E15" s="8" t="s">
        <v>170</v>
      </c>
      <c r="F15" s="7" t="s">
        <v>96</v>
      </c>
      <c r="G15" s="7" t="s">
        <v>96</v>
      </c>
      <c r="H15" s="7" t="s">
        <v>96</v>
      </c>
      <c r="I15" s="7" t="s">
        <v>96</v>
      </c>
      <c r="J15" s="7" t="s">
        <v>96</v>
      </c>
      <c r="K15" s="7" t="s">
        <v>95</v>
      </c>
      <c r="L15" s="16" t="s">
        <v>96</v>
      </c>
      <c r="M15" s="7" t="s">
        <v>106</v>
      </c>
      <c r="N15" s="7" t="s">
        <v>148</v>
      </c>
      <c r="O15" s="7" t="s">
        <v>149</v>
      </c>
      <c r="P15" t="s">
        <v>1278</v>
      </c>
      <c r="Q15" s="7"/>
      <c r="R15" s="7" t="s">
        <v>1112</v>
      </c>
      <c r="S15" s="11">
        <v>45730</v>
      </c>
      <c r="T15" s="7"/>
    </row>
    <row r="16" spans="1:21" ht="15" customHeight="1">
      <c r="A16" s="6" t="s">
        <v>174</v>
      </c>
      <c r="B16" s="6" t="e">
        <f>_xlfn.XLOOKUP(E16,#REF!,#REF!)</f>
        <v>#REF!</v>
      </c>
      <c r="C16" s="6" t="e">
        <f t="shared" si="0"/>
        <v>#REF!</v>
      </c>
      <c r="D16" s="7" t="s">
        <v>137</v>
      </c>
      <c r="E16" s="7" t="s">
        <v>175</v>
      </c>
      <c r="F16" s="7" t="s">
        <v>95</v>
      </c>
      <c r="G16" s="7" t="s">
        <v>95</v>
      </c>
      <c r="H16" s="7" t="s">
        <v>95</v>
      </c>
      <c r="I16" s="7" t="s">
        <v>95</v>
      </c>
      <c r="J16" s="7" t="s">
        <v>95</v>
      </c>
      <c r="K16" s="7" t="s">
        <v>95</v>
      </c>
      <c r="L16" s="7" t="s">
        <v>95</v>
      </c>
      <c r="M16" s="7"/>
      <c r="N16" s="7"/>
      <c r="O16" s="7"/>
      <c r="P16" s="7"/>
      <c r="Q16" s="7"/>
      <c r="R16" s="1"/>
      <c r="S16" s="11"/>
      <c r="T16" s="7"/>
    </row>
    <row r="17" spans="1:20" ht="14" customHeight="1">
      <c r="A17" s="6" t="s">
        <v>179</v>
      </c>
      <c r="B17" s="6" t="e">
        <f>_xlfn.XLOOKUP(E17,#REF!,#REF!)</f>
        <v>#REF!</v>
      </c>
      <c r="C17" s="6" t="e">
        <f t="shared" si="0"/>
        <v>#REF!</v>
      </c>
      <c r="D17" s="7" t="s">
        <v>112</v>
      </c>
      <c r="E17" s="7" t="s">
        <v>180</v>
      </c>
      <c r="F17" s="7" t="s">
        <v>95</v>
      </c>
      <c r="G17" s="7" t="s">
        <v>95</v>
      </c>
      <c r="H17" s="7" t="s">
        <v>95</v>
      </c>
      <c r="I17" s="7" t="s">
        <v>95</v>
      </c>
      <c r="J17" s="7" t="s">
        <v>95</v>
      </c>
      <c r="K17" s="7" t="s">
        <v>95</v>
      </c>
      <c r="L17" s="7" t="s">
        <v>95</v>
      </c>
      <c r="M17" s="7"/>
      <c r="N17" s="7"/>
      <c r="O17" s="7"/>
      <c r="P17" s="7"/>
      <c r="Q17" s="7"/>
      <c r="R17" s="7"/>
      <c r="S17" s="7"/>
      <c r="T17" s="7"/>
    </row>
    <row r="18" spans="1:20" ht="12" customHeight="1">
      <c r="A18" s="8" t="s">
        <v>184</v>
      </c>
      <c r="B18" s="6" t="e">
        <f>_xlfn.XLOOKUP(E18,#REF!,#REF!)</f>
        <v>#REF!</v>
      </c>
      <c r="C18" s="6" t="e">
        <f t="shared" si="0"/>
        <v>#REF!</v>
      </c>
      <c r="D18" s="7" t="s">
        <v>91</v>
      </c>
      <c r="E18" s="8" t="s">
        <v>185</v>
      </c>
      <c r="F18" s="7" t="s">
        <v>96</v>
      </c>
      <c r="G18" s="7" t="s">
        <v>96</v>
      </c>
      <c r="H18" s="7" t="s">
        <v>95</v>
      </c>
      <c r="I18" s="7" t="s">
        <v>95</v>
      </c>
      <c r="J18" s="7" t="s">
        <v>96</v>
      </c>
      <c r="K18" s="7" t="s">
        <v>95</v>
      </c>
      <c r="L18" s="7" t="s">
        <v>95</v>
      </c>
      <c r="M18" s="7" t="s">
        <v>106</v>
      </c>
      <c r="N18" s="7" t="s">
        <v>148</v>
      </c>
      <c r="O18" s="7" t="s">
        <v>149</v>
      </c>
      <c r="P18" s="7" t="s">
        <v>1279</v>
      </c>
      <c r="Q18" s="7">
        <v>498</v>
      </c>
      <c r="R18" s="7" t="s">
        <v>1220</v>
      </c>
      <c r="S18" s="11">
        <v>45010</v>
      </c>
      <c r="T18" s="7" t="s">
        <v>1221</v>
      </c>
    </row>
    <row r="19" spans="1:20" ht="12" customHeight="1">
      <c r="A19" s="8" t="s">
        <v>188</v>
      </c>
      <c r="B19" s="6" t="e">
        <f>_xlfn.XLOOKUP(E19,#REF!,#REF!)</f>
        <v>#REF!</v>
      </c>
      <c r="C19" s="6" t="e">
        <f t="shared" si="0"/>
        <v>#REF!</v>
      </c>
      <c r="D19" s="7" t="s">
        <v>137</v>
      </c>
      <c r="E19" s="8" t="s">
        <v>189</v>
      </c>
      <c r="F19" s="7" t="s">
        <v>96</v>
      </c>
      <c r="G19" s="7" t="s">
        <v>96</v>
      </c>
      <c r="H19" s="7" t="s">
        <v>95</v>
      </c>
      <c r="I19" s="7" t="s">
        <v>95</v>
      </c>
      <c r="J19" s="7" t="s">
        <v>95</v>
      </c>
      <c r="K19" s="7" t="s">
        <v>95</v>
      </c>
      <c r="L19" s="7" t="s">
        <v>95</v>
      </c>
      <c r="M19" s="7" t="s">
        <v>106</v>
      </c>
      <c r="N19" s="7" t="s">
        <v>148</v>
      </c>
      <c r="O19" s="7" t="s">
        <v>149</v>
      </c>
      <c r="P19" s="7" t="s">
        <v>1280</v>
      </c>
      <c r="Q19" s="7"/>
      <c r="R19" s="1" t="s">
        <v>1173</v>
      </c>
      <c r="S19" s="11">
        <v>45741</v>
      </c>
      <c r="T19" s="7"/>
    </row>
    <row r="20" spans="1:20" ht="13.25" customHeight="1">
      <c r="A20" s="8" t="s">
        <v>192</v>
      </c>
      <c r="B20" s="6" t="e">
        <f>_xlfn.XLOOKUP(E20,#REF!,#REF!)</f>
        <v>#REF!</v>
      </c>
      <c r="C20" s="6" t="e">
        <f t="shared" si="0"/>
        <v>#REF!</v>
      </c>
      <c r="D20" s="7" t="s">
        <v>100</v>
      </c>
      <c r="E20" s="8" t="s">
        <v>193</v>
      </c>
      <c r="F20" s="7" t="s">
        <v>95</v>
      </c>
      <c r="G20" s="7" t="s">
        <v>96</v>
      </c>
      <c r="H20" s="7" t="s">
        <v>96</v>
      </c>
      <c r="I20" s="7" t="s">
        <v>96</v>
      </c>
      <c r="J20" s="7" t="s">
        <v>95</v>
      </c>
      <c r="K20" s="7" t="s">
        <v>95</v>
      </c>
      <c r="L20" s="7" t="s">
        <v>96</v>
      </c>
      <c r="M20" s="7" t="s">
        <v>106</v>
      </c>
      <c r="N20" s="7" t="s">
        <v>106</v>
      </c>
      <c r="O20" s="7" t="s">
        <v>197</v>
      </c>
      <c r="P20" s="7" t="s">
        <v>1281</v>
      </c>
      <c r="Q20" s="7"/>
      <c r="R20" s="7" t="s">
        <v>1116</v>
      </c>
      <c r="S20" s="11">
        <v>45741</v>
      </c>
      <c r="T20" s="7" t="s">
        <v>1117</v>
      </c>
    </row>
    <row r="21" spans="1:20" ht="15" customHeight="1">
      <c r="A21" s="8" t="s">
        <v>199</v>
      </c>
      <c r="B21" s="6" t="e">
        <f>_xlfn.XLOOKUP(E21,#REF!,#REF!)</f>
        <v>#REF!</v>
      </c>
      <c r="C21" s="6" t="e">
        <f t="shared" si="0"/>
        <v>#REF!</v>
      </c>
      <c r="D21" s="7" t="s">
        <v>100</v>
      </c>
      <c r="E21" s="8" t="s">
        <v>200</v>
      </c>
      <c r="F21" s="7" t="s">
        <v>96</v>
      </c>
      <c r="G21" s="7" t="s">
        <v>96</v>
      </c>
      <c r="H21" s="7" t="s">
        <v>96</v>
      </c>
      <c r="I21" s="7" t="s">
        <v>96</v>
      </c>
      <c r="J21" s="7" t="s">
        <v>95</v>
      </c>
      <c r="K21" s="7" t="s">
        <v>96</v>
      </c>
      <c r="L21" s="7" t="s">
        <v>96</v>
      </c>
      <c r="M21" s="7" t="s">
        <v>108</v>
      </c>
      <c r="N21" s="7" t="s">
        <v>109</v>
      </c>
      <c r="O21" s="7" t="s">
        <v>110</v>
      </c>
      <c r="P21" s="7" t="s">
        <v>1282</v>
      </c>
      <c r="Q21" s="7" t="s">
        <v>1094</v>
      </c>
      <c r="R21" t="s">
        <v>1113</v>
      </c>
      <c r="S21" s="11">
        <v>45693</v>
      </c>
      <c r="T21" s="7" t="s">
        <v>1074</v>
      </c>
    </row>
    <row r="22" spans="1:20" ht="12" customHeight="1">
      <c r="A22" s="6" t="s">
        <v>204</v>
      </c>
      <c r="B22" s="6" t="e">
        <f>_xlfn.XLOOKUP(E22,#REF!,#REF!)</f>
        <v>#REF!</v>
      </c>
      <c r="C22" s="6" t="e">
        <f t="shared" si="0"/>
        <v>#REF!</v>
      </c>
      <c r="D22" s="7" t="s">
        <v>137</v>
      </c>
      <c r="E22" s="7" t="s">
        <v>205</v>
      </c>
      <c r="F22" s="7" t="s">
        <v>95</v>
      </c>
      <c r="G22" s="7" t="s">
        <v>95</v>
      </c>
      <c r="H22" s="7" t="s">
        <v>95</v>
      </c>
      <c r="I22" s="7" t="s">
        <v>95</v>
      </c>
      <c r="J22" s="7" t="s">
        <v>95</v>
      </c>
      <c r="K22" s="7" t="s">
        <v>95</v>
      </c>
      <c r="L22" s="7" t="s">
        <v>95</v>
      </c>
      <c r="M22" s="7"/>
      <c r="N22" s="7"/>
      <c r="O22" s="7"/>
      <c r="P22" s="7"/>
      <c r="Q22" s="7"/>
      <c r="R22" s="7"/>
      <c r="S22" s="7"/>
      <c r="T22" s="7"/>
    </row>
    <row r="23" spans="1:20" ht="12" customHeight="1">
      <c r="A23" s="6" t="s">
        <v>212</v>
      </c>
      <c r="B23" s="6" t="e">
        <f>_xlfn.XLOOKUP(E23,#REF!,#REF!)</f>
        <v>#REF!</v>
      </c>
      <c r="C23" s="6" t="e">
        <f t="shared" si="0"/>
        <v>#REF!</v>
      </c>
      <c r="D23" s="7" t="s">
        <v>132</v>
      </c>
      <c r="E23" s="7" t="s">
        <v>213</v>
      </c>
      <c r="F23" s="7" t="s">
        <v>95</v>
      </c>
      <c r="G23" s="7" t="s">
        <v>95</v>
      </c>
      <c r="H23" s="7" t="s">
        <v>95</v>
      </c>
      <c r="I23" s="7" t="s">
        <v>95</v>
      </c>
      <c r="J23" s="7" t="s">
        <v>95</v>
      </c>
      <c r="K23" s="7" t="s">
        <v>95</v>
      </c>
      <c r="L23" s="7" t="s">
        <v>95</v>
      </c>
      <c r="M23" s="7"/>
      <c r="N23" s="7"/>
      <c r="O23" s="7"/>
      <c r="P23" s="7"/>
      <c r="Q23" s="7"/>
      <c r="R23" s="7"/>
      <c r="S23" s="7"/>
      <c r="T23" s="7"/>
    </row>
    <row r="24" spans="1:20" ht="12" customHeight="1">
      <c r="A24" s="6" t="s">
        <v>216</v>
      </c>
      <c r="B24" s="6" t="e">
        <f>_xlfn.XLOOKUP(E24,#REF!,#REF!)</f>
        <v>#REF!</v>
      </c>
      <c r="C24" s="6" t="e">
        <f t="shared" si="0"/>
        <v>#REF!</v>
      </c>
      <c r="D24" s="7" t="s">
        <v>217</v>
      </c>
      <c r="E24" s="7" t="s">
        <v>218</v>
      </c>
      <c r="F24" s="7" t="s">
        <v>95</v>
      </c>
      <c r="G24" s="7" t="s">
        <v>95</v>
      </c>
      <c r="H24" s="7" t="s">
        <v>95</v>
      </c>
      <c r="I24" s="7" t="s">
        <v>95</v>
      </c>
      <c r="J24" s="7" t="s">
        <v>95</v>
      </c>
      <c r="K24" s="7" t="s">
        <v>95</v>
      </c>
      <c r="L24" s="7" t="s">
        <v>95</v>
      </c>
      <c r="M24" s="7"/>
      <c r="N24" s="7"/>
      <c r="O24" s="7"/>
      <c r="P24" s="7"/>
      <c r="Q24" s="7"/>
      <c r="R24" s="7"/>
      <c r="S24" s="7"/>
      <c r="T24" s="7"/>
    </row>
    <row r="25" spans="1:20" ht="12" customHeight="1">
      <c r="A25" s="6" t="s">
        <v>222</v>
      </c>
      <c r="B25" s="6" t="e">
        <f>_xlfn.XLOOKUP(E25,#REF!,#REF!)</f>
        <v>#REF!</v>
      </c>
      <c r="C25" s="6" t="e">
        <f t="shared" si="0"/>
        <v>#REF!</v>
      </c>
      <c r="D25" s="7" t="s">
        <v>91</v>
      </c>
      <c r="E25" s="7" t="s">
        <v>223</v>
      </c>
      <c r="F25" s="7" t="s">
        <v>95</v>
      </c>
      <c r="G25" s="7" t="s">
        <v>95</v>
      </c>
      <c r="H25" s="7" t="s">
        <v>95</v>
      </c>
      <c r="I25" s="7" t="s">
        <v>95</v>
      </c>
      <c r="J25" s="7" t="s">
        <v>95</v>
      </c>
      <c r="K25" s="7" t="s">
        <v>95</v>
      </c>
      <c r="L25" s="7" t="s">
        <v>95</v>
      </c>
      <c r="M25" s="7"/>
      <c r="N25" s="7"/>
      <c r="O25" s="7"/>
      <c r="P25" s="7"/>
      <c r="Q25" s="7"/>
      <c r="R25" s="7"/>
      <c r="S25" s="7"/>
      <c r="T25" s="7"/>
    </row>
    <row r="26" spans="1:20" ht="11" customHeight="1">
      <c r="A26" s="6" t="s">
        <v>227</v>
      </c>
      <c r="B26" s="6" t="e">
        <f>_xlfn.XLOOKUP(E26,#REF!,#REF!)</f>
        <v>#REF!</v>
      </c>
      <c r="C26" s="6" t="e">
        <f t="shared" si="0"/>
        <v>#REF!</v>
      </c>
      <c r="D26" s="7" t="s">
        <v>137</v>
      </c>
      <c r="E26" s="7" t="s">
        <v>228</v>
      </c>
      <c r="F26" s="7" t="s">
        <v>95</v>
      </c>
      <c r="G26" s="7" t="s">
        <v>95</v>
      </c>
      <c r="H26" s="7" t="s">
        <v>95</v>
      </c>
      <c r="I26" s="7" t="s">
        <v>95</v>
      </c>
      <c r="J26" s="7" t="s">
        <v>95</v>
      </c>
      <c r="K26" s="7" t="s">
        <v>95</v>
      </c>
      <c r="L26" s="7" t="s">
        <v>95</v>
      </c>
      <c r="M26" s="7"/>
      <c r="N26" s="7"/>
      <c r="O26" s="7"/>
      <c r="P26" s="7"/>
      <c r="Q26" s="7"/>
      <c r="R26" s="7"/>
      <c r="S26" s="7"/>
      <c r="T26" s="7"/>
    </row>
    <row r="27" spans="1:20" ht="15" customHeight="1">
      <c r="A27" s="8" t="s">
        <v>230</v>
      </c>
      <c r="B27" s="6" t="e">
        <f>_xlfn.XLOOKUP(E27,#REF!,#REF!)</f>
        <v>#REF!</v>
      </c>
      <c r="C27" s="6" t="e">
        <f t="shared" si="0"/>
        <v>#REF!</v>
      </c>
      <c r="D27" s="7" t="s">
        <v>100</v>
      </c>
      <c r="E27" s="8" t="s">
        <v>231</v>
      </c>
      <c r="F27" s="7" t="s">
        <v>96</v>
      </c>
      <c r="G27" s="7" t="s">
        <v>96</v>
      </c>
      <c r="H27" s="7" t="s">
        <v>95</v>
      </c>
      <c r="I27" s="7" t="s">
        <v>95</v>
      </c>
      <c r="J27" s="7" t="s">
        <v>95</v>
      </c>
      <c r="K27" s="7" t="s">
        <v>95</v>
      </c>
      <c r="L27" s="7" t="s">
        <v>95</v>
      </c>
      <c r="M27" s="7" t="s">
        <v>108</v>
      </c>
      <c r="N27" s="7" t="s">
        <v>109</v>
      </c>
      <c r="O27" s="7" t="s">
        <v>110</v>
      </c>
      <c r="P27" s="7" t="s">
        <v>1283</v>
      </c>
      <c r="Q27" s="7" t="s">
        <v>1094</v>
      </c>
      <c r="R27" s="17" t="s">
        <v>1115</v>
      </c>
      <c r="S27" s="11">
        <v>45748</v>
      </c>
      <c r="T27" s="7"/>
    </row>
    <row r="28" spans="1:20" ht="12" customHeight="1">
      <c r="A28" s="18" t="s">
        <v>236</v>
      </c>
      <c r="B28" s="6" t="e">
        <f>_xlfn.XLOOKUP(E28,#REF!,#REF!)</f>
        <v>#REF!</v>
      </c>
      <c r="C28" s="6" t="e">
        <f t="shared" si="0"/>
        <v>#REF!</v>
      </c>
      <c r="D28" s="7" t="s">
        <v>132</v>
      </c>
      <c r="E28" s="8" t="s">
        <v>237</v>
      </c>
      <c r="F28" s="7" t="s">
        <v>96</v>
      </c>
      <c r="G28" s="7" t="s">
        <v>95</v>
      </c>
      <c r="H28" s="7" t="s">
        <v>96</v>
      </c>
      <c r="I28" s="7" t="s">
        <v>95</v>
      </c>
      <c r="J28" s="7" t="s">
        <v>95</v>
      </c>
      <c r="K28" s="7" t="s">
        <v>95</v>
      </c>
      <c r="L28" s="7" t="s">
        <v>95</v>
      </c>
      <c r="M28" s="7" t="s">
        <v>106</v>
      </c>
      <c r="N28" s="7" t="s">
        <v>148</v>
      </c>
      <c r="O28" s="7" t="s">
        <v>149</v>
      </c>
      <c r="P28" s="7" t="s">
        <v>1284</v>
      </c>
      <c r="Q28" s="7"/>
      <c r="R28" s="7" t="s">
        <v>1228</v>
      </c>
      <c r="S28" s="11">
        <v>45741</v>
      </c>
      <c r="T28" s="7"/>
    </row>
    <row r="29" spans="1:20" ht="12" customHeight="1">
      <c r="A29" s="8" t="s">
        <v>240</v>
      </c>
      <c r="B29" s="6" t="e">
        <f>_xlfn.XLOOKUP(E29,#REF!,#REF!)</f>
        <v>#REF!</v>
      </c>
      <c r="C29" s="6" t="e">
        <f t="shared" si="0"/>
        <v>#REF!</v>
      </c>
      <c r="D29" s="7" t="s">
        <v>137</v>
      </c>
      <c r="E29" s="8" t="s">
        <v>241</v>
      </c>
      <c r="F29" s="7" t="s">
        <v>96</v>
      </c>
      <c r="G29" s="7" t="s">
        <v>96</v>
      </c>
      <c r="H29" s="7" t="s">
        <v>96</v>
      </c>
      <c r="I29" s="7" t="s">
        <v>96</v>
      </c>
      <c r="J29" s="7" t="s">
        <v>95</v>
      </c>
      <c r="K29" s="7" t="s">
        <v>95</v>
      </c>
      <c r="L29" s="7" t="s">
        <v>96</v>
      </c>
      <c r="M29" s="7" t="s">
        <v>108</v>
      </c>
      <c r="N29" s="7" t="s">
        <v>109</v>
      </c>
      <c r="O29" s="7" t="s">
        <v>110</v>
      </c>
      <c r="P29" s="7" t="s">
        <v>1285</v>
      </c>
      <c r="Q29" s="7" t="s">
        <v>1094</v>
      </c>
      <c r="R29" s="17" t="s">
        <v>1172</v>
      </c>
      <c r="S29" s="11">
        <v>45748</v>
      </c>
      <c r="T29" s="7" t="s">
        <v>1171</v>
      </c>
    </row>
    <row r="30" spans="1:20" ht="12" customHeight="1">
      <c r="A30" s="18" t="s">
        <v>246</v>
      </c>
      <c r="B30" s="6" t="e">
        <f>_xlfn.XLOOKUP(E30,#REF!,#REF!)</f>
        <v>#REF!</v>
      </c>
      <c r="C30" s="6" t="e">
        <f t="shared" si="0"/>
        <v>#REF!</v>
      </c>
      <c r="D30" s="7" t="s">
        <v>137</v>
      </c>
      <c r="E30" s="8" t="s">
        <v>247</v>
      </c>
      <c r="F30" s="7" t="s">
        <v>96</v>
      </c>
      <c r="G30" s="7" t="s">
        <v>96</v>
      </c>
      <c r="H30" s="7" t="s">
        <v>95</v>
      </c>
      <c r="I30" s="7" t="s">
        <v>95</v>
      </c>
      <c r="J30" s="7" t="s">
        <v>95</v>
      </c>
      <c r="K30" s="7" t="s">
        <v>95</v>
      </c>
      <c r="L30" s="7" t="s">
        <v>95</v>
      </c>
      <c r="M30" s="7" t="s">
        <v>106</v>
      </c>
      <c r="N30" s="7" t="s">
        <v>148</v>
      </c>
      <c r="O30" s="7" t="s">
        <v>107</v>
      </c>
      <c r="P30" s="9" t="s">
        <v>1286</v>
      </c>
      <c r="Q30" s="7"/>
      <c r="R30" s="7" t="s">
        <v>1202</v>
      </c>
      <c r="S30" s="11">
        <v>45743</v>
      </c>
      <c r="T30" s="7"/>
    </row>
    <row r="31" spans="1:20" ht="18" customHeight="1">
      <c r="A31" s="6" t="s">
        <v>250</v>
      </c>
      <c r="B31" s="6" t="e">
        <f>_xlfn.XLOOKUP(E31,#REF!,#REF!)</f>
        <v>#REF!</v>
      </c>
      <c r="C31" s="6" t="e">
        <f t="shared" si="0"/>
        <v>#REF!</v>
      </c>
      <c r="D31" s="7" t="s">
        <v>120</v>
      </c>
      <c r="E31" s="7" t="s">
        <v>251</v>
      </c>
      <c r="F31" s="7" t="s">
        <v>95</v>
      </c>
      <c r="G31" s="7" t="s">
        <v>95</v>
      </c>
      <c r="H31" s="7" t="s">
        <v>95</v>
      </c>
      <c r="I31" s="7" t="s">
        <v>95</v>
      </c>
      <c r="J31" s="7" t="s">
        <v>95</v>
      </c>
      <c r="K31" s="7" t="s">
        <v>95</v>
      </c>
      <c r="L31" s="7" t="s">
        <v>95</v>
      </c>
      <c r="M31" s="7"/>
      <c r="N31" s="7"/>
      <c r="O31" s="7"/>
      <c r="P31" s="7"/>
      <c r="Q31" s="7"/>
      <c r="R31" s="12"/>
      <c r="S31" s="11"/>
      <c r="T31" s="7"/>
    </row>
    <row r="32" spans="1:20" ht="19.25" customHeight="1">
      <c r="A32" s="8" t="s">
        <v>254</v>
      </c>
      <c r="B32" s="6" t="e">
        <f>_xlfn.XLOOKUP(E32,#REF!,#REF!)</f>
        <v>#REF!</v>
      </c>
      <c r="C32" s="6" t="e">
        <f t="shared" si="0"/>
        <v>#REF!</v>
      </c>
      <c r="D32" s="7" t="s">
        <v>100</v>
      </c>
      <c r="E32" s="8" t="s">
        <v>255</v>
      </c>
      <c r="F32" s="7" t="s">
        <v>96</v>
      </c>
      <c r="G32" s="7" t="s">
        <v>96</v>
      </c>
      <c r="H32" s="7" t="s">
        <v>96</v>
      </c>
      <c r="I32" s="7" t="s">
        <v>96</v>
      </c>
      <c r="J32" s="7" t="s">
        <v>95</v>
      </c>
      <c r="K32" s="7" t="s">
        <v>96</v>
      </c>
      <c r="L32" s="7" t="s">
        <v>96</v>
      </c>
      <c r="M32" s="7" t="s">
        <v>108</v>
      </c>
      <c r="N32" s="7" t="s">
        <v>109</v>
      </c>
      <c r="O32" s="7" t="s">
        <v>110</v>
      </c>
      <c r="P32" s="7" t="s">
        <v>1287</v>
      </c>
      <c r="Q32" s="7" t="s">
        <v>1094</v>
      </c>
      <c r="R32" s="10" t="s">
        <v>1114</v>
      </c>
      <c r="S32" s="11">
        <v>45760</v>
      </c>
      <c r="T32" s="7" t="s">
        <v>1074</v>
      </c>
    </row>
    <row r="33" spans="1:20" ht="12" customHeight="1">
      <c r="A33" s="6" t="s">
        <v>260</v>
      </c>
      <c r="B33" s="6" t="e">
        <f>_xlfn.XLOOKUP(E33,#REF!,#REF!)</f>
        <v>#REF!</v>
      </c>
      <c r="C33" s="6" t="e">
        <f t="shared" si="0"/>
        <v>#REF!</v>
      </c>
      <c r="D33" s="7" t="s">
        <v>132</v>
      </c>
      <c r="E33" s="7" t="s">
        <v>261</v>
      </c>
      <c r="F33" s="7" t="s">
        <v>95</v>
      </c>
      <c r="G33" s="7" t="s">
        <v>95</v>
      </c>
      <c r="H33" s="7" t="s">
        <v>95</v>
      </c>
      <c r="I33" s="7" t="s">
        <v>95</v>
      </c>
      <c r="J33" s="7" t="s">
        <v>95</v>
      </c>
      <c r="K33" s="7" t="s">
        <v>95</v>
      </c>
      <c r="L33" s="7" t="s">
        <v>95</v>
      </c>
      <c r="M33" s="7"/>
      <c r="N33" s="7"/>
      <c r="O33" s="7"/>
      <c r="P33" s="7"/>
      <c r="Q33" s="7"/>
      <c r="R33" s="7"/>
      <c r="S33" s="7"/>
      <c r="T33" s="7"/>
    </row>
    <row r="34" spans="1:20" ht="12" customHeight="1">
      <c r="A34" s="8" t="s">
        <v>263</v>
      </c>
      <c r="B34" s="6" t="e">
        <f>_xlfn.XLOOKUP(E34,#REF!,#REF!)</f>
        <v>#REF!</v>
      </c>
      <c r="C34" s="6" t="e">
        <f t="shared" si="0"/>
        <v>#REF!</v>
      </c>
      <c r="D34" s="7" t="s">
        <v>132</v>
      </c>
      <c r="E34" s="8" t="s">
        <v>264</v>
      </c>
      <c r="F34" s="7" t="s">
        <v>96</v>
      </c>
      <c r="G34" s="7" t="s">
        <v>95</v>
      </c>
      <c r="H34" s="7" t="s">
        <v>96</v>
      </c>
      <c r="I34" s="7" t="s">
        <v>95</v>
      </c>
      <c r="J34" s="7" t="s">
        <v>95</v>
      </c>
      <c r="K34" s="7" t="s">
        <v>95</v>
      </c>
      <c r="L34" s="7" t="s">
        <v>95</v>
      </c>
      <c r="M34" s="7" t="s">
        <v>198</v>
      </c>
      <c r="N34" s="7" t="s">
        <v>198</v>
      </c>
      <c r="O34" s="7" t="s">
        <v>203</v>
      </c>
      <c r="P34" s="7" t="s">
        <v>1288</v>
      </c>
      <c r="Q34" s="7"/>
      <c r="R34" s="7" t="s">
        <v>1229</v>
      </c>
      <c r="S34" s="11">
        <v>45755</v>
      </c>
      <c r="T34" s="7"/>
    </row>
    <row r="35" spans="1:20" ht="13.25" customHeight="1">
      <c r="A35" s="8" t="s">
        <v>267</v>
      </c>
      <c r="B35" s="6" t="e">
        <f>_xlfn.XLOOKUP(E35,#REF!,#REF!)</f>
        <v>#REF!</v>
      </c>
      <c r="C35" s="6" t="e">
        <f t="shared" si="0"/>
        <v>#REF!</v>
      </c>
      <c r="D35" s="7" t="s">
        <v>132</v>
      </c>
      <c r="E35" s="8" t="s">
        <v>268</v>
      </c>
      <c r="F35" s="7" t="s">
        <v>95</v>
      </c>
      <c r="G35" s="7" t="s">
        <v>96</v>
      </c>
      <c r="H35" s="7" t="s">
        <v>95</v>
      </c>
      <c r="I35" s="7" t="s">
        <v>95</v>
      </c>
      <c r="J35" s="7" t="s">
        <v>95</v>
      </c>
      <c r="K35" s="7" t="s">
        <v>95</v>
      </c>
      <c r="L35" s="7" t="s">
        <v>95</v>
      </c>
      <c r="M35" s="7" t="s">
        <v>108</v>
      </c>
      <c r="N35" s="7" t="s">
        <v>109</v>
      </c>
      <c r="O35" s="7" t="s">
        <v>110</v>
      </c>
      <c r="P35" s="7" t="s">
        <v>1289</v>
      </c>
      <c r="Q35" s="7"/>
      <c r="R35" s="7" t="s">
        <v>1230</v>
      </c>
      <c r="S35" s="19">
        <v>45744</v>
      </c>
      <c r="T35" s="7"/>
    </row>
    <row r="36" spans="1:20" ht="16.25" customHeight="1">
      <c r="A36" s="8" t="s">
        <v>271</v>
      </c>
      <c r="B36" s="6" t="e">
        <f>_xlfn.XLOOKUP(E36,#REF!,#REF!)</f>
        <v>#REF!</v>
      </c>
      <c r="C36" s="6" t="e">
        <f t="shared" si="0"/>
        <v>#REF!</v>
      </c>
      <c r="D36" s="7" t="s">
        <v>120</v>
      </c>
      <c r="E36" s="8" t="s">
        <v>272</v>
      </c>
      <c r="F36" s="7" t="s">
        <v>96</v>
      </c>
      <c r="G36" s="7" t="s">
        <v>96</v>
      </c>
      <c r="H36" s="7" t="s">
        <v>95</v>
      </c>
      <c r="I36" s="7" t="s">
        <v>95</v>
      </c>
      <c r="J36" s="7" t="s">
        <v>95</v>
      </c>
      <c r="K36" s="7" t="s">
        <v>95</v>
      </c>
      <c r="L36" s="7" t="s">
        <v>95</v>
      </c>
      <c r="M36" s="7" t="s">
        <v>198</v>
      </c>
      <c r="N36" s="7" t="s">
        <v>198</v>
      </c>
      <c r="O36" s="7" t="s">
        <v>149</v>
      </c>
      <c r="P36" s="7" t="s">
        <v>1290</v>
      </c>
      <c r="Q36" s="7" t="s">
        <v>1291</v>
      </c>
      <c r="R36" s="12" t="s">
        <v>1083</v>
      </c>
      <c r="S36" s="11">
        <v>45748</v>
      </c>
      <c r="T36" s="7"/>
    </row>
    <row r="37" spans="1:20" ht="15" customHeight="1">
      <c r="A37" s="8" t="s">
        <v>276</v>
      </c>
      <c r="B37" s="6" t="e">
        <f>_xlfn.XLOOKUP(E37,#REF!,#REF!)</f>
        <v>#REF!</v>
      </c>
      <c r="C37" s="6" t="e">
        <f t="shared" si="0"/>
        <v>#REF!</v>
      </c>
      <c r="D37" s="7" t="s">
        <v>132</v>
      </c>
      <c r="E37" s="8" t="s">
        <v>277</v>
      </c>
      <c r="F37" s="7" t="s">
        <v>96</v>
      </c>
      <c r="G37" s="7" t="s">
        <v>96</v>
      </c>
      <c r="H37" s="7" t="s">
        <v>95</v>
      </c>
      <c r="I37" s="7" t="s">
        <v>95</v>
      </c>
      <c r="J37" s="7" t="s">
        <v>95</v>
      </c>
      <c r="K37" s="7" t="s">
        <v>95</v>
      </c>
      <c r="L37" s="7" t="s">
        <v>95</v>
      </c>
      <c r="M37" s="7" t="s">
        <v>108</v>
      </c>
      <c r="N37" s="7" t="s">
        <v>148</v>
      </c>
      <c r="O37" s="7" t="s">
        <v>197</v>
      </c>
      <c r="P37" s="9" t="s">
        <v>1292</v>
      </c>
      <c r="Q37" s="7" t="s">
        <v>1094</v>
      </c>
      <c r="R37" s="12" t="s">
        <v>1231</v>
      </c>
      <c r="S37" s="11">
        <v>45748</v>
      </c>
      <c r="T37" s="7" t="s">
        <v>1232</v>
      </c>
    </row>
    <row r="38" spans="1:20" ht="16.25" customHeight="1">
      <c r="A38" s="8" t="s">
        <v>280</v>
      </c>
      <c r="B38" s="6" t="e">
        <f>_xlfn.XLOOKUP(E38,#REF!,#REF!)</f>
        <v>#REF!</v>
      </c>
      <c r="C38" s="6" t="e">
        <f t="shared" si="0"/>
        <v>#REF!</v>
      </c>
      <c r="D38" s="7" t="s">
        <v>217</v>
      </c>
      <c r="E38" s="8" t="s">
        <v>281</v>
      </c>
      <c r="F38" s="7" t="s">
        <v>96</v>
      </c>
      <c r="G38" s="7" t="s">
        <v>96</v>
      </c>
      <c r="H38" s="7" t="s">
        <v>96</v>
      </c>
      <c r="I38" s="7" t="s">
        <v>96</v>
      </c>
      <c r="J38" s="7" t="s">
        <v>95</v>
      </c>
      <c r="K38" s="7" t="s">
        <v>95</v>
      </c>
      <c r="L38" s="7" t="s">
        <v>96</v>
      </c>
      <c r="M38" s="7" t="s">
        <v>108</v>
      </c>
      <c r="N38" s="7" t="s">
        <v>109</v>
      </c>
      <c r="O38" s="7" t="s">
        <v>110</v>
      </c>
      <c r="P38" s="20" t="s">
        <v>1293</v>
      </c>
      <c r="Q38" s="7"/>
      <c r="R38" s="17" t="s">
        <v>1216</v>
      </c>
      <c r="S38" s="11">
        <v>45749</v>
      </c>
      <c r="T38" s="7" t="s">
        <v>1217</v>
      </c>
    </row>
    <row r="39" spans="1:20" ht="12" customHeight="1">
      <c r="A39" s="6" t="s">
        <v>285</v>
      </c>
      <c r="B39" s="6" t="e">
        <f>_xlfn.XLOOKUP(E39,#REF!,#REF!)</f>
        <v>#REF!</v>
      </c>
      <c r="C39" s="6" t="e">
        <f t="shared" si="0"/>
        <v>#REF!</v>
      </c>
      <c r="D39" s="7" t="s">
        <v>137</v>
      </c>
      <c r="E39" s="7" t="s">
        <v>286</v>
      </c>
      <c r="F39" s="7" t="s">
        <v>95</v>
      </c>
      <c r="G39" s="7" t="s">
        <v>95</v>
      </c>
      <c r="H39" s="7" t="s">
        <v>95</v>
      </c>
      <c r="I39" s="7" t="s">
        <v>95</v>
      </c>
      <c r="J39" s="7" t="s">
        <v>95</v>
      </c>
      <c r="K39" s="7" t="s">
        <v>95</v>
      </c>
      <c r="L39" s="7" t="s">
        <v>95</v>
      </c>
      <c r="M39" s="7"/>
      <c r="N39" s="7"/>
      <c r="O39" s="7"/>
      <c r="P39" s="7"/>
      <c r="Q39" s="7"/>
      <c r="R39" s="7"/>
      <c r="S39" s="7"/>
      <c r="T39" s="7"/>
    </row>
    <row r="40" spans="1:20" ht="12" customHeight="1">
      <c r="A40" s="6" t="s">
        <v>290</v>
      </c>
      <c r="B40" s="6" t="e">
        <f>_xlfn.XLOOKUP(E40,#REF!,#REF!)</f>
        <v>#REF!</v>
      </c>
      <c r="C40" s="6" t="e">
        <f t="shared" si="0"/>
        <v>#REF!</v>
      </c>
      <c r="D40" s="7" t="s">
        <v>132</v>
      </c>
      <c r="E40" s="7" t="s">
        <v>291</v>
      </c>
      <c r="F40" s="7" t="s">
        <v>95</v>
      </c>
      <c r="G40" s="7" t="s">
        <v>95</v>
      </c>
      <c r="H40" s="7" t="s">
        <v>95</v>
      </c>
      <c r="I40" s="7" t="s">
        <v>95</v>
      </c>
      <c r="J40" s="7" t="s">
        <v>95</v>
      </c>
      <c r="K40" s="7" t="s">
        <v>95</v>
      </c>
      <c r="L40" s="7" t="s">
        <v>95</v>
      </c>
      <c r="M40" s="7"/>
      <c r="N40" s="7"/>
      <c r="O40" s="7"/>
      <c r="P40" s="7"/>
      <c r="Q40" s="7"/>
      <c r="R40" s="7"/>
      <c r="S40" s="7"/>
      <c r="T40" s="7"/>
    </row>
    <row r="41" spans="1:20" ht="12" customHeight="1">
      <c r="A41" s="6" t="s">
        <v>294</v>
      </c>
      <c r="B41" s="6" t="e">
        <f>_xlfn.XLOOKUP(E41,#REF!,#REF!)</f>
        <v>#REF!</v>
      </c>
      <c r="C41" s="6" t="e">
        <f t="shared" si="0"/>
        <v>#REF!</v>
      </c>
      <c r="D41" s="7" t="s">
        <v>132</v>
      </c>
      <c r="E41" s="7" t="s">
        <v>295</v>
      </c>
      <c r="F41" s="7" t="s">
        <v>95</v>
      </c>
      <c r="G41" s="7" t="s">
        <v>95</v>
      </c>
      <c r="H41" s="7" t="s">
        <v>95</v>
      </c>
      <c r="I41" s="7" t="s">
        <v>95</v>
      </c>
      <c r="J41" s="7" t="s">
        <v>95</v>
      </c>
      <c r="K41" s="7" t="s">
        <v>95</v>
      </c>
      <c r="L41" s="7" t="s">
        <v>95</v>
      </c>
      <c r="M41" s="7"/>
      <c r="N41" s="7"/>
      <c r="O41" s="7"/>
      <c r="P41" s="7"/>
      <c r="Q41" s="7"/>
      <c r="R41" s="7"/>
      <c r="S41" s="7"/>
      <c r="T41" s="7"/>
    </row>
    <row r="42" spans="1:20" ht="12" customHeight="1">
      <c r="A42" s="6" t="s">
        <v>297</v>
      </c>
      <c r="B42" s="6" t="e">
        <f>_xlfn.XLOOKUP(E42,#REF!,#REF!)</f>
        <v>#REF!</v>
      </c>
      <c r="C42" s="6" t="e">
        <f t="shared" si="0"/>
        <v>#REF!</v>
      </c>
      <c r="D42" s="7" t="s">
        <v>100</v>
      </c>
      <c r="E42" s="7" t="s">
        <v>298</v>
      </c>
      <c r="F42" s="7" t="s">
        <v>95</v>
      </c>
      <c r="G42" s="7" t="s">
        <v>95</v>
      </c>
      <c r="H42" s="7" t="s">
        <v>95</v>
      </c>
      <c r="I42" s="7" t="s">
        <v>95</v>
      </c>
      <c r="J42" s="7" t="s">
        <v>95</v>
      </c>
      <c r="K42" s="7" t="s">
        <v>95</v>
      </c>
      <c r="L42" s="7" t="s">
        <v>95</v>
      </c>
      <c r="M42" s="7"/>
      <c r="N42" s="7"/>
      <c r="O42" s="7"/>
      <c r="P42" s="7"/>
      <c r="Q42" s="7"/>
      <c r="R42" s="7"/>
      <c r="S42" s="7"/>
      <c r="T42" s="7"/>
    </row>
    <row r="43" spans="1:20" ht="15" customHeight="1">
      <c r="A43" s="8" t="s">
        <v>301</v>
      </c>
      <c r="B43" s="6" t="e">
        <f>_xlfn.XLOOKUP(E43,#REF!,#REF!)</f>
        <v>#REF!</v>
      </c>
      <c r="C43" s="6" t="e">
        <f t="shared" si="0"/>
        <v>#REF!</v>
      </c>
      <c r="D43" s="7" t="s">
        <v>137</v>
      </c>
      <c r="E43" s="8" t="s">
        <v>302</v>
      </c>
      <c r="F43" s="7" t="s">
        <v>96</v>
      </c>
      <c r="G43" s="7" t="s">
        <v>96</v>
      </c>
      <c r="H43" s="7" t="s">
        <v>96</v>
      </c>
      <c r="I43" s="7" t="s">
        <v>96</v>
      </c>
      <c r="J43" s="7" t="s">
        <v>95</v>
      </c>
      <c r="K43" s="7" t="s">
        <v>95</v>
      </c>
      <c r="L43" s="7" t="s">
        <v>96</v>
      </c>
      <c r="M43" s="7" t="s">
        <v>108</v>
      </c>
      <c r="N43" s="7" t="s">
        <v>109</v>
      </c>
      <c r="O43" s="7" t="s">
        <v>110</v>
      </c>
      <c r="P43" s="9" t="s">
        <v>1294</v>
      </c>
      <c r="Q43" s="7"/>
      <c r="R43" s="17" t="s">
        <v>1175</v>
      </c>
      <c r="S43" s="11">
        <v>45748</v>
      </c>
      <c r="T43" s="7" t="s">
        <v>1174</v>
      </c>
    </row>
    <row r="44" spans="1:20" ht="15" customHeight="1">
      <c r="A44" s="8" t="s">
        <v>306</v>
      </c>
      <c r="B44" s="6" t="e">
        <f>_xlfn.XLOOKUP(E44,#REF!,#REF!)</f>
        <v>#REF!</v>
      </c>
      <c r="C44" s="6" t="e">
        <f t="shared" si="0"/>
        <v>#REF!</v>
      </c>
      <c r="D44" s="7" t="s">
        <v>120</v>
      </c>
      <c r="E44" s="8" t="s">
        <v>307</v>
      </c>
      <c r="F44" s="7" t="s">
        <v>96</v>
      </c>
      <c r="G44" s="7" t="s">
        <v>96</v>
      </c>
      <c r="H44" s="7" t="s">
        <v>96</v>
      </c>
      <c r="I44" s="7" t="s">
        <v>96</v>
      </c>
      <c r="J44" s="7" t="s">
        <v>95</v>
      </c>
      <c r="K44" s="7" t="s">
        <v>95</v>
      </c>
      <c r="L44" s="7" t="s">
        <v>95</v>
      </c>
      <c r="M44" s="7" t="s">
        <v>198</v>
      </c>
      <c r="N44" s="7" t="s">
        <v>148</v>
      </c>
      <c r="O44" s="7" t="s">
        <v>197</v>
      </c>
      <c r="P44" s="7" t="s">
        <v>1295</v>
      </c>
      <c r="Q44" s="7"/>
      <c r="R44" s="12" t="s">
        <v>1075</v>
      </c>
      <c r="S44" s="11">
        <v>45749</v>
      </c>
      <c r="T44" s="7" t="s">
        <v>1074</v>
      </c>
    </row>
    <row r="45" spans="1:20" ht="18" customHeight="1">
      <c r="A45" s="8" t="s">
        <v>314</v>
      </c>
      <c r="B45" s="6" t="e">
        <f>_xlfn.XLOOKUP(E45,#REF!,#REF!)</f>
        <v>#REF!</v>
      </c>
      <c r="C45" s="6" t="e">
        <f t="shared" si="0"/>
        <v>#REF!</v>
      </c>
      <c r="D45" s="7" t="s">
        <v>137</v>
      </c>
      <c r="E45" s="8" t="s">
        <v>315</v>
      </c>
      <c r="F45" s="7" t="s">
        <v>96</v>
      </c>
      <c r="G45" s="7" t="s">
        <v>96</v>
      </c>
      <c r="H45" s="7" t="s">
        <v>96</v>
      </c>
      <c r="I45" s="7" t="s">
        <v>96</v>
      </c>
      <c r="J45" s="7" t="s">
        <v>95</v>
      </c>
      <c r="K45" s="7" t="s">
        <v>95</v>
      </c>
      <c r="L45" s="7" t="s">
        <v>96</v>
      </c>
      <c r="M45" s="7" t="s">
        <v>108</v>
      </c>
      <c r="N45" s="7" t="s">
        <v>109</v>
      </c>
      <c r="O45" s="7" t="s">
        <v>110</v>
      </c>
      <c r="P45" s="7" t="s">
        <v>1296</v>
      </c>
      <c r="Q45" s="7" t="s">
        <v>1094</v>
      </c>
      <c r="R45" s="17" t="s">
        <v>1176</v>
      </c>
      <c r="S45" s="11">
        <v>45748</v>
      </c>
      <c r="T45" s="7" t="s">
        <v>1177</v>
      </c>
    </row>
    <row r="46" spans="1:20" ht="12" customHeight="1">
      <c r="A46" s="6" t="s">
        <v>320</v>
      </c>
      <c r="B46" s="6" t="e">
        <f>_xlfn.XLOOKUP(E46,#REF!,#REF!)</f>
        <v>#REF!</v>
      </c>
      <c r="C46" s="6" t="e">
        <f t="shared" si="0"/>
        <v>#REF!</v>
      </c>
      <c r="D46" s="7" t="s">
        <v>132</v>
      </c>
      <c r="E46" s="7" t="s">
        <v>321</v>
      </c>
      <c r="F46" s="7" t="s">
        <v>95</v>
      </c>
      <c r="G46" s="7" t="s">
        <v>95</v>
      </c>
      <c r="H46" s="7" t="s">
        <v>95</v>
      </c>
      <c r="I46" s="7" t="s">
        <v>95</v>
      </c>
      <c r="J46" s="7" t="s">
        <v>95</v>
      </c>
      <c r="K46" s="7" t="s">
        <v>95</v>
      </c>
      <c r="L46" s="7" t="s">
        <v>95</v>
      </c>
      <c r="M46" s="7"/>
      <c r="N46" s="7"/>
      <c r="O46" s="7"/>
      <c r="P46" s="7"/>
      <c r="Q46" s="7"/>
      <c r="R46" s="7"/>
      <c r="S46" s="7"/>
      <c r="T46" s="7"/>
    </row>
    <row r="47" spans="1:20" ht="12" customHeight="1">
      <c r="A47" s="6" t="s">
        <v>322</v>
      </c>
      <c r="B47" s="6" t="e">
        <f>_xlfn.XLOOKUP(E47,#REF!,#REF!)</f>
        <v>#REF!</v>
      </c>
      <c r="C47" s="6" t="e">
        <f t="shared" si="0"/>
        <v>#REF!</v>
      </c>
      <c r="D47" s="7" t="s">
        <v>132</v>
      </c>
      <c r="E47" s="7" t="s">
        <v>323</v>
      </c>
      <c r="F47" s="7" t="s">
        <v>95</v>
      </c>
      <c r="G47" s="7" t="s">
        <v>95</v>
      </c>
      <c r="H47" s="7" t="s">
        <v>95</v>
      </c>
      <c r="I47" s="7" t="s">
        <v>95</v>
      </c>
      <c r="J47" s="7" t="s">
        <v>95</v>
      </c>
      <c r="K47" s="7" t="s">
        <v>95</v>
      </c>
      <c r="L47" s="7" t="s">
        <v>95</v>
      </c>
      <c r="M47" s="7"/>
      <c r="N47" s="7"/>
      <c r="O47" s="7"/>
      <c r="P47" s="7"/>
      <c r="Q47" s="7"/>
      <c r="R47" s="7"/>
      <c r="S47" s="7"/>
      <c r="T47" s="7"/>
    </row>
    <row r="48" spans="1:20" ht="14" customHeight="1">
      <c r="A48" s="6" t="s">
        <v>326</v>
      </c>
      <c r="B48" s="6" t="e">
        <f>_xlfn.XLOOKUP(E48,#REF!,#REF!)</f>
        <v>#REF!</v>
      </c>
      <c r="C48" s="6" t="e">
        <f t="shared" si="0"/>
        <v>#REF!</v>
      </c>
      <c r="D48" s="7" t="s">
        <v>132</v>
      </c>
      <c r="E48" s="7" t="s">
        <v>327</v>
      </c>
      <c r="F48" s="7" t="s">
        <v>95</v>
      </c>
      <c r="G48" s="7" t="s">
        <v>95</v>
      </c>
      <c r="H48" s="7" t="s">
        <v>95</v>
      </c>
      <c r="I48" s="7" t="s">
        <v>95</v>
      </c>
      <c r="J48" s="7" t="s">
        <v>95</v>
      </c>
      <c r="K48" s="7" t="s">
        <v>95</v>
      </c>
      <c r="L48" s="7" t="s">
        <v>95</v>
      </c>
      <c r="M48" s="7"/>
      <c r="N48" s="7"/>
      <c r="O48" s="7"/>
      <c r="P48" s="7"/>
      <c r="Q48" s="7"/>
      <c r="R48" s="7"/>
      <c r="S48" s="7"/>
      <c r="T48" s="7"/>
    </row>
    <row r="49" spans="1:21" ht="14" customHeight="1">
      <c r="A49" s="6"/>
      <c r="B49" s="6" t="e">
        <f>_xlfn.XLOOKUP(E49,#REF!,#REF!)</f>
        <v>#REF!</v>
      </c>
      <c r="C49" s="6" t="e">
        <f t="shared" si="0"/>
        <v>#REF!</v>
      </c>
      <c r="D49" s="7"/>
      <c r="E49" s="7" t="s">
        <v>1297</v>
      </c>
      <c r="F49" s="7"/>
      <c r="G49" s="7" t="s">
        <v>95</v>
      </c>
      <c r="H49" s="7" t="s">
        <v>95</v>
      </c>
      <c r="I49" s="7" t="s">
        <v>95</v>
      </c>
      <c r="J49" s="7" t="s">
        <v>95</v>
      </c>
      <c r="K49" s="7" t="s">
        <v>95</v>
      </c>
      <c r="L49" s="7" t="s">
        <v>95</v>
      </c>
      <c r="M49" s="7"/>
      <c r="N49" s="7"/>
      <c r="O49" s="7"/>
      <c r="P49" s="7"/>
      <c r="Q49" s="7"/>
      <c r="R49" s="7" t="s">
        <v>1298</v>
      </c>
      <c r="S49" s="7"/>
      <c r="T49" s="7"/>
    </row>
    <row r="50" spans="1:21" ht="17" customHeight="1">
      <c r="A50" s="8" t="s">
        <v>330</v>
      </c>
      <c r="B50" s="6" t="e">
        <f>_xlfn.XLOOKUP(E50,#REF!,#REF!)</f>
        <v>#REF!</v>
      </c>
      <c r="C50" s="6" t="e">
        <f t="shared" si="0"/>
        <v>#REF!</v>
      </c>
      <c r="D50" s="7" t="s">
        <v>137</v>
      </c>
      <c r="E50" s="8" t="s">
        <v>331</v>
      </c>
      <c r="F50" s="7" t="s">
        <v>96</v>
      </c>
      <c r="G50" s="7" t="s">
        <v>96</v>
      </c>
      <c r="H50" s="7" t="s">
        <v>96</v>
      </c>
      <c r="I50" s="7" t="s">
        <v>96</v>
      </c>
      <c r="J50" s="7" t="s">
        <v>95</v>
      </c>
      <c r="K50" s="7" t="s">
        <v>95</v>
      </c>
      <c r="L50" s="7" t="s">
        <v>96</v>
      </c>
      <c r="M50" s="7" t="s">
        <v>198</v>
      </c>
      <c r="N50" s="7" t="s">
        <v>109</v>
      </c>
      <c r="O50" s="7" t="s">
        <v>197</v>
      </c>
      <c r="P50" s="7" t="s">
        <v>1299</v>
      </c>
      <c r="Q50" s="7"/>
      <c r="R50" s="17" t="s">
        <v>1179</v>
      </c>
      <c r="S50" s="11">
        <v>45749</v>
      </c>
      <c r="T50" s="7" t="s">
        <v>1178</v>
      </c>
    </row>
    <row r="51" spans="1:21" ht="19.25" customHeight="1">
      <c r="A51" s="8" t="s">
        <v>336</v>
      </c>
      <c r="B51" s="6" t="e">
        <f>_xlfn.XLOOKUP(E51,#REF!,#REF!)</f>
        <v>#REF!</v>
      </c>
      <c r="C51" s="6" t="e">
        <f t="shared" si="0"/>
        <v>#REF!</v>
      </c>
      <c r="D51" s="7" t="s">
        <v>132</v>
      </c>
      <c r="E51" s="8" t="s">
        <v>337</v>
      </c>
      <c r="F51" s="7" t="s">
        <v>96</v>
      </c>
      <c r="G51" s="7" t="s">
        <v>96</v>
      </c>
      <c r="H51" s="7" t="s">
        <v>95</v>
      </c>
      <c r="I51" s="7" t="s">
        <v>95</v>
      </c>
      <c r="J51" s="7" t="s">
        <v>95</v>
      </c>
      <c r="K51" s="7" t="s">
        <v>95</v>
      </c>
      <c r="L51" s="7" t="s">
        <v>95</v>
      </c>
      <c r="M51" s="7" t="s">
        <v>106</v>
      </c>
      <c r="N51" s="7" t="s">
        <v>148</v>
      </c>
      <c r="O51" s="7" t="s">
        <v>149</v>
      </c>
      <c r="P51" s="7" t="s">
        <v>1300</v>
      </c>
      <c r="Q51" s="7">
        <v>19</v>
      </c>
      <c r="R51" s="7" t="s">
        <v>1233</v>
      </c>
      <c r="S51" s="11">
        <v>45744</v>
      </c>
      <c r="T51" s="7"/>
    </row>
    <row r="52" spans="1:21" ht="17" customHeight="1">
      <c r="A52" s="8" t="s">
        <v>340</v>
      </c>
      <c r="B52" s="6" t="e">
        <f>_xlfn.XLOOKUP(E52,#REF!,#REF!)</f>
        <v>#REF!</v>
      </c>
      <c r="C52" s="6" t="e">
        <f t="shared" si="0"/>
        <v>#REF!</v>
      </c>
      <c r="D52" s="7" t="s">
        <v>100</v>
      </c>
      <c r="E52" s="8" t="s">
        <v>341</v>
      </c>
      <c r="F52" s="7" t="s">
        <v>96</v>
      </c>
      <c r="G52" s="7" t="s">
        <v>96</v>
      </c>
      <c r="H52" s="7" t="s">
        <v>96</v>
      </c>
      <c r="I52" s="7" t="s">
        <v>96</v>
      </c>
      <c r="J52" s="7" t="s">
        <v>95</v>
      </c>
      <c r="K52" s="7" t="s">
        <v>96</v>
      </c>
      <c r="L52" s="7" t="s">
        <v>96</v>
      </c>
      <c r="M52" s="7" t="s">
        <v>345</v>
      </c>
      <c r="N52" s="7" t="s">
        <v>109</v>
      </c>
      <c r="O52" s="7" t="s">
        <v>110</v>
      </c>
      <c r="P52" s="7" t="s">
        <v>1301</v>
      </c>
      <c r="Q52" s="7" t="s">
        <v>1094</v>
      </c>
      <c r="R52" s="10" t="s">
        <v>1134</v>
      </c>
      <c r="S52" s="11">
        <v>45693</v>
      </c>
      <c r="T52" s="7" t="s">
        <v>1074</v>
      </c>
    </row>
    <row r="53" spans="1:21" ht="12" customHeight="1">
      <c r="A53" s="8" t="s">
        <v>346</v>
      </c>
      <c r="B53" s="6" t="e">
        <f>_xlfn.XLOOKUP(E53,#REF!,#REF!)</f>
        <v>#REF!</v>
      </c>
      <c r="C53" s="6" t="e">
        <f t="shared" si="0"/>
        <v>#REF!</v>
      </c>
      <c r="D53" s="7" t="s">
        <v>137</v>
      </c>
      <c r="E53" s="8" t="s">
        <v>347</v>
      </c>
      <c r="F53" s="7" t="s">
        <v>96</v>
      </c>
      <c r="G53" s="7" t="s">
        <v>96</v>
      </c>
      <c r="H53" s="7" t="s">
        <v>95</v>
      </c>
      <c r="I53" s="7" t="s">
        <v>95</v>
      </c>
      <c r="J53" s="7" t="s">
        <v>95</v>
      </c>
      <c r="K53" s="7" t="s">
        <v>95</v>
      </c>
      <c r="L53" s="7" t="s">
        <v>95</v>
      </c>
      <c r="M53" s="7" t="s">
        <v>198</v>
      </c>
      <c r="N53" s="7" t="s">
        <v>198</v>
      </c>
      <c r="O53" s="7" t="s">
        <v>110</v>
      </c>
      <c r="P53" s="7" t="s">
        <v>1302</v>
      </c>
      <c r="Q53" s="7"/>
      <c r="R53" s="7" t="s">
        <v>1180</v>
      </c>
      <c r="S53" s="11">
        <v>45755</v>
      </c>
      <c r="T53" s="7"/>
    </row>
    <row r="54" spans="1:21" ht="12" customHeight="1">
      <c r="A54" s="6" t="s">
        <v>348</v>
      </c>
      <c r="B54" s="6" t="e">
        <f>_xlfn.XLOOKUP(E54,#REF!,#REF!)</f>
        <v>#REF!</v>
      </c>
      <c r="C54" s="6" t="e">
        <f t="shared" si="0"/>
        <v>#REF!</v>
      </c>
      <c r="D54" s="7" t="s">
        <v>137</v>
      </c>
      <c r="E54" s="7" t="s">
        <v>349</v>
      </c>
      <c r="F54" s="7" t="s">
        <v>95</v>
      </c>
      <c r="G54" s="7" t="s">
        <v>95</v>
      </c>
      <c r="H54" s="7" t="s">
        <v>95</v>
      </c>
      <c r="I54" s="7" t="s">
        <v>95</v>
      </c>
      <c r="J54" s="7" t="s">
        <v>95</v>
      </c>
      <c r="K54" s="7" t="s">
        <v>95</v>
      </c>
      <c r="L54" s="7" t="s">
        <v>95</v>
      </c>
      <c r="M54" s="7"/>
      <c r="N54" s="7"/>
      <c r="O54" s="7"/>
      <c r="P54" s="7"/>
      <c r="Q54" s="7"/>
      <c r="R54" s="7"/>
      <c r="S54" s="7"/>
      <c r="T54" s="7"/>
    </row>
    <row r="55" spans="1:21" ht="15" customHeight="1">
      <c r="A55" s="8" t="s">
        <v>352</v>
      </c>
      <c r="B55" s="6" t="e">
        <f>_xlfn.XLOOKUP(E55,#REF!,#REF!)</f>
        <v>#REF!</v>
      </c>
      <c r="C55" s="6" t="e">
        <f t="shared" si="0"/>
        <v>#REF!</v>
      </c>
      <c r="D55" s="7" t="s">
        <v>100</v>
      </c>
      <c r="E55" s="8" t="s">
        <v>353</v>
      </c>
      <c r="F55" s="7" t="s">
        <v>96</v>
      </c>
      <c r="G55" s="7" t="s">
        <v>96</v>
      </c>
      <c r="H55" s="7" t="s">
        <v>96</v>
      </c>
      <c r="I55" s="7" t="s">
        <v>96</v>
      </c>
      <c r="J55" s="7" t="s">
        <v>95</v>
      </c>
      <c r="K55" s="7" t="s">
        <v>96</v>
      </c>
      <c r="L55" s="7" t="s">
        <v>96</v>
      </c>
      <c r="M55" s="7" t="s">
        <v>108</v>
      </c>
      <c r="N55" s="7" t="s">
        <v>109</v>
      </c>
      <c r="O55" s="7" t="s">
        <v>110</v>
      </c>
      <c r="P55" s="7" t="s">
        <v>1303</v>
      </c>
      <c r="Q55" s="7" t="s">
        <v>1094</v>
      </c>
      <c r="R55" s="10" t="s">
        <v>1119</v>
      </c>
      <c r="S55" s="11">
        <v>45693</v>
      </c>
      <c r="T55" s="7" t="s">
        <v>1074</v>
      </c>
    </row>
    <row r="56" spans="1:21" ht="13.25" customHeight="1">
      <c r="A56" s="8" t="s">
        <v>358</v>
      </c>
      <c r="B56" s="6" t="e">
        <f>_xlfn.XLOOKUP(E56,#REF!,#REF!)</f>
        <v>#REF!</v>
      </c>
      <c r="C56" s="6" t="e">
        <f t="shared" si="0"/>
        <v>#REF!</v>
      </c>
      <c r="D56" s="7" t="s">
        <v>100</v>
      </c>
      <c r="E56" s="8" t="s">
        <v>359</v>
      </c>
      <c r="F56" s="7" t="s">
        <v>96</v>
      </c>
      <c r="G56" s="7" t="s">
        <v>96</v>
      </c>
      <c r="H56" s="7" t="s">
        <v>96</v>
      </c>
      <c r="I56" s="7" t="s">
        <v>96</v>
      </c>
      <c r="J56" s="7" t="s">
        <v>95</v>
      </c>
      <c r="K56" s="7" t="s">
        <v>96</v>
      </c>
      <c r="L56" s="7" t="s">
        <v>96</v>
      </c>
      <c r="M56" s="7" t="s">
        <v>108</v>
      </c>
      <c r="N56" s="7" t="s">
        <v>109</v>
      </c>
      <c r="O56" s="7" t="s">
        <v>110</v>
      </c>
      <c r="P56" s="7" t="s">
        <v>1304</v>
      </c>
      <c r="Q56" s="7" t="s">
        <v>1094</v>
      </c>
      <c r="R56" s="10" t="s">
        <v>1120</v>
      </c>
      <c r="S56" s="11">
        <v>45760</v>
      </c>
      <c r="T56" s="7" t="s">
        <v>1074</v>
      </c>
    </row>
    <row r="57" spans="1:21" ht="12" customHeight="1">
      <c r="A57" s="8" t="s">
        <v>363</v>
      </c>
      <c r="B57" s="6" t="e">
        <f>_xlfn.XLOOKUP(E57,#REF!,#REF!)</f>
        <v>#REF!</v>
      </c>
      <c r="C57" s="6" t="e">
        <f t="shared" si="0"/>
        <v>#REF!</v>
      </c>
      <c r="D57" s="7" t="s">
        <v>100</v>
      </c>
      <c r="E57" s="8" t="s">
        <v>364</v>
      </c>
      <c r="F57" s="7" t="s">
        <v>96</v>
      </c>
      <c r="G57" s="7" t="s">
        <v>96</v>
      </c>
      <c r="H57" s="7" t="s">
        <v>96</v>
      </c>
      <c r="I57" s="7" t="s">
        <v>96</v>
      </c>
      <c r="J57" s="7" t="s">
        <v>95</v>
      </c>
      <c r="K57" s="7" t="s">
        <v>96</v>
      </c>
      <c r="L57" s="7" t="s">
        <v>96</v>
      </c>
      <c r="M57" s="7" t="s">
        <v>108</v>
      </c>
      <c r="N57" s="7" t="s">
        <v>109</v>
      </c>
      <c r="O57" s="7" t="s">
        <v>110</v>
      </c>
      <c r="P57" s="7" t="s">
        <v>1305</v>
      </c>
      <c r="Q57" s="7" t="s">
        <v>1094</v>
      </c>
      <c r="R57" s="10" t="s">
        <v>1122</v>
      </c>
      <c r="S57" s="11">
        <v>45758</v>
      </c>
      <c r="T57" s="7" t="s">
        <v>1074</v>
      </c>
    </row>
    <row r="58" spans="1:21" ht="12" customHeight="1">
      <c r="A58" s="6" t="s">
        <v>368</v>
      </c>
      <c r="B58" s="6" t="e">
        <f>_xlfn.XLOOKUP(E58,#REF!,#REF!)</f>
        <v>#REF!</v>
      </c>
      <c r="C58" s="6" t="e">
        <f t="shared" si="0"/>
        <v>#REF!</v>
      </c>
      <c r="D58" s="7" t="s">
        <v>112</v>
      </c>
      <c r="E58" s="7" t="s">
        <v>369</v>
      </c>
      <c r="F58" s="7" t="s">
        <v>95</v>
      </c>
      <c r="G58" s="7" t="s">
        <v>95</v>
      </c>
      <c r="H58" s="7" t="s">
        <v>95</v>
      </c>
      <c r="I58" s="7" t="s">
        <v>95</v>
      </c>
      <c r="J58" s="7" t="s">
        <v>95</v>
      </c>
      <c r="K58" s="7" t="s">
        <v>95</v>
      </c>
      <c r="L58" s="7" t="s">
        <v>95</v>
      </c>
      <c r="M58" s="7"/>
      <c r="N58" s="7"/>
      <c r="O58" s="7"/>
      <c r="P58" s="7"/>
      <c r="Q58" s="7"/>
      <c r="R58" s="7"/>
      <c r="S58" s="7"/>
      <c r="T58" s="7"/>
    </row>
    <row r="59" spans="1:21" ht="12" customHeight="1">
      <c r="A59" s="8" t="s">
        <v>371</v>
      </c>
      <c r="B59" s="6" t="e">
        <f>_xlfn.XLOOKUP(E59,#REF!,#REF!)</f>
        <v>#REF!</v>
      </c>
      <c r="C59" s="6" t="e">
        <f t="shared" si="0"/>
        <v>#REF!</v>
      </c>
      <c r="D59" s="7" t="s">
        <v>137</v>
      </c>
      <c r="E59" s="8" t="s">
        <v>372</v>
      </c>
      <c r="F59" s="7" t="s">
        <v>96</v>
      </c>
      <c r="G59" s="7" t="s">
        <v>95</v>
      </c>
      <c r="H59" s="7" t="s">
        <v>95</v>
      </c>
      <c r="I59" s="7" t="s">
        <v>95</v>
      </c>
      <c r="J59" s="7" t="s">
        <v>95</v>
      </c>
      <c r="K59" s="7" t="s">
        <v>95</v>
      </c>
      <c r="L59" s="7" t="s">
        <v>96</v>
      </c>
      <c r="M59" s="7" t="s">
        <v>198</v>
      </c>
      <c r="N59" s="7" t="s">
        <v>198</v>
      </c>
      <c r="O59" s="7" t="s">
        <v>203</v>
      </c>
      <c r="P59" s="7" t="s">
        <v>1306</v>
      </c>
      <c r="Q59" s="7"/>
      <c r="R59" s="7" t="s">
        <v>1181</v>
      </c>
      <c r="S59" s="11">
        <v>45755</v>
      </c>
      <c r="T59" s="7"/>
    </row>
    <row r="60" spans="1:21" ht="12" customHeight="1">
      <c r="A60" s="8" t="s">
        <v>374</v>
      </c>
      <c r="B60" s="6" t="e">
        <f>_xlfn.XLOOKUP(E60,#REF!,#REF!)</f>
        <v>#REF!</v>
      </c>
      <c r="C60" s="6" t="e">
        <f t="shared" si="0"/>
        <v>#REF!</v>
      </c>
      <c r="D60" s="7" t="s">
        <v>137</v>
      </c>
      <c r="E60" s="8" t="s">
        <v>375</v>
      </c>
      <c r="F60" s="7" t="s">
        <v>96</v>
      </c>
      <c r="G60" s="7" t="s">
        <v>96</v>
      </c>
      <c r="H60" s="7" t="s">
        <v>96</v>
      </c>
      <c r="I60" s="7" t="s">
        <v>96</v>
      </c>
      <c r="J60" s="7" t="s">
        <v>96</v>
      </c>
      <c r="K60" s="7" t="s">
        <v>95</v>
      </c>
      <c r="L60" s="7" t="s">
        <v>96</v>
      </c>
      <c r="M60" s="7" t="s">
        <v>108</v>
      </c>
      <c r="N60" s="7" t="s">
        <v>109</v>
      </c>
      <c r="O60" s="7" t="s">
        <v>197</v>
      </c>
      <c r="P60" s="7" t="s">
        <v>1307</v>
      </c>
      <c r="Q60" s="7" t="s">
        <v>1184</v>
      </c>
      <c r="R60" s="17" t="s">
        <v>1182</v>
      </c>
      <c r="S60" s="11">
        <v>45750</v>
      </c>
      <c r="T60" s="7" t="s">
        <v>1183</v>
      </c>
    </row>
    <row r="61" spans="1:21" ht="18" customHeight="1">
      <c r="A61" s="8" t="s">
        <v>377</v>
      </c>
      <c r="B61" s="6" t="e">
        <f>_xlfn.XLOOKUP(E61,#REF!,#REF!)</f>
        <v>#REF!</v>
      </c>
      <c r="C61" s="6" t="e">
        <f t="shared" si="0"/>
        <v>#REF!</v>
      </c>
      <c r="D61" s="7" t="s">
        <v>137</v>
      </c>
      <c r="E61" s="8" t="s">
        <v>378</v>
      </c>
      <c r="F61" s="7" t="s">
        <v>96</v>
      </c>
      <c r="G61" s="7" t="s">
        <v>95</v>
      </c>
      <c r="H61" s="7" t="s">
        <v>96</v>
      </c>
      <c r="I61" s="7" t="s">
        <v>96</v>
      </c>
      <c r="J61" s="7" t="s">
        <v>95</v>
      </c>
      <c r="K61" s="7" t="s">
        <v>95</v>
      </c>
      <c r="L61" s="7" t="s">
        <v>96</v>
      </c>
      <c r="M61" s="7" t="s">
        <v>108</v>
      </c>
      <c r="N61" s="7" t="s">
        <v>109</v>
      </c>
      <c r="O61" s="7" t="s">
        <v>110</v>
      </c>
      <c r="P61" s="7" t="s">
        <v>1308</v>
      </c>
      <c r="Q61" s="7" t="s">
        <v>1094</v>
      </c>
      <c r="R61" s="12" t="s">
        <v>1185</v>
      </c>
      <c r="S61" s="11">
        <v>45750</v>
      </c>
      <c r="T61" s="7" t="s">
        <v>1186</v>
      </c>
      <c r="U61" s="13" t="s">
        <v>1309</v>
      </c>
    </row>
    <row r="62" spans="1:21" ht="13.25" customHeight="1">
      <c r="A62" s="8" t="s">
        <v>381</v>
      </c>
      <c r="B62" s="6" t="e">
        <f>_xlfn.XLOOKUP(E62,#REF!,#REF!)</f>
        <v>#REF!</v>
      </c>
      <c r="C62" s="6" t="e">
        <f t="shared" si="0"/>
        <v>#REF!</v>
      </c>
      <c r="D62" s="7" t="s">
        <v>112</v>
      </c>
      <c r="E62" s="8" t="s">
        <v>382</v>
      </c>
      <c r="F62" s="7" t="s">
        <v>96</v>
      </c>
      <c r="G62" s="7" t="s">
        <v>95</v>
      </c>
      <c r="H62" s="7" t="s">
        <v>96</v>
      </c>
      <c r="I62" s="7" t="s">
        <v>95</v>
      </c>
      <c r="J62" s="7" t="s">
        <v>96</v>
      </c>
      <c r="K62" s="7" t="s">
        <v>95</v>
      </c>
      <c r="L62" s="7" t="s">
        <v>95</v>
      </c>
      <c r="M62" s="7" t="s">
        <v>345</v>
      </c>
      <c r="N62" s="7" t="s">
        <v>109</v>
      </c>
      <c r="O62" s="7" t="s">
        <v>110</v>
      </c>
      <c r="P62" s="7" t="s">
        <v>1310</v>
      </c>
      <c r="Q62" s="7" t="s">
        <v>1094</v>
      </c>
      <c r="R62" s="12" t="s">
        <v>1205</v>
      </c>
      <c r="S62" s="11">
        <v>45694</v>
      </c>
      <c r="T62" s="7" t="s">
        <v>1311</v>
      </c>
    </row>
    <row r="63" spans="1:21" ht="12" customHeight="1">
      <c r="A63" s="8" t="s">
        <v>386</v>
      </c>
      <c r="B63" s="6" t="e">
        <f>_xlfn.XLOOKUP(E63,#REF!,#REF!)</f>
        <v>#REF!</v>
      </c>
      <c r="C63" s="6" t="e">
        <f t="shared" si="0"/>
        <v>#REF!</v>
      </c>
      <c r="D63" s="7" t="s">
        <v>137</v>
      </c>
      <c r="E63" s="8" t="s">
        <v>387</v>
      </c>
      <c r="F63" s="7" t="s">
        <v>96</v>
      </c>
      <c r="G63" s="7" t="s">
        <v>95</v>
      </c>
      <c r="H63" s="7" t="s">
        <v>95</v>
      </c>
      <c r="I63" s="7" t="s">
        <v>95</v>
      </c>
      <c r="J63" s="7" t="s">
        <v>95</v>
      </c>
      <c r="K63" s="7" t="s">
        <v>95</v>
      </c>
      <c r="L63" s="7" t="s">
        <v>96</v>
      </c>
      <c r="M63" s="7" t="s">
        <v>198</v>
      </c>
      <c r="N63" s="7" t="s">
        <v>198</v>
      </c>
      <c r="O63" s="7" t="s">
        <v>197</v>
      </c>
      <c r="P63" s="7" t="s">
        <v>1312</v>
      </c>
      <c r="Q63" s="7"/>
      <c r="R63" s="7" t="s">
        <v>1194</v>
      </c>
      <c r="S63" s="11">
        <v>45755</v>
      </c>
      <c r="T63" s="7"/>
    </row>
    <row r="64" spans="1:21" ht="12" customHeight="1">
      <c r="A64" s="6" t="s">
        <v>389</v>
      </c>
      <c r="B64" s="6" t="e">
        <f>_xlfn.XLOOKUP(E64,#REF!,#REF!)</f>
        <v>#REF!</v>
      </c>
      <c r="C64" s="6" t="e">
        <f t="shared" si="0"/>
        <v>#REF!</v>
      </c>
      <c r="D64" s="7" t="s">
        <v>132</v>
      </c>
      <c r="E64" s="7" t="s">
        <v>390</v>
      </c>
      <c r="F64" s="7" t="s">
        <v>95</v>
      </c>
      <c r="G64" s="7" t="s">
        <v>95</v>
      </c>
      <c r="H64" s="7" t="s">
        <v>95</v>
      </c>
      <c r="I64" s="7" t="s">
        <v>95</v>
      </c>
      <c r="J64" s="7" t="s">
        <v>95</v>
      </c>
      <c r="K64" s="7" t="s">
        <v>95</v>
      </c>
      <c r="L64" s="7" t="s">
        <v>95</v>
      </c>
      <c r="M64" s="7"/>
      <c r="N64" s="7"/>
      <c r="O64" s="7"/>
      <c r="P64" s="7"/>
      <c r="Q64" s="7"/>
      <c r="R64" s="7"/>
      <c r="S64" s="7"/>
      <c r="T64" s="7"/>
    </row>
    <row r="65" spans="1:20" ht="12" customHeight="1">
      <c r="A65" s="6" t="s">
        <v>393</v>
      </c>
      <c r="B65" s="6" t="e">
        <f>_xlfn.XLOOKUP(E65,#REF!,#REF!)</f>
        <v>#REF!</v>
      </c>
      <c r="C65" s="6" t="e">
        <f t="shared" si="0"/>
        <v>#REF!</v>
      </c>
      <c r="D65" s="7" t="s">
        <v>132</v>
      </c>
      <c r="E65" s="7" t="s">
        <v>394</v>
      </c>
      <c r="F65" s="7" t="s">
        <v>95</v>
      </c>
      <c r="G65" s="7" t="s">
        <v>95</v>
      </c>
      <c r="H65" s="7" t="s">
        <v>95</v>
      </c>
      <c r="I65" s="7" t="s">
        <v>95</v>
      </c>
      <c r="J65" s="7" t="s">
        <v>95</v>
      </c>
      <c r="K65" s="7" t="s">
        <v>95</v>
      </c>
      <c r="L65" s="7" t="s">
        <v>95</v>
      </c>
      <c r="M65" s="7"/>
      <c r="N65" s="7"/>
      <c r="O65" s="7"/>
      <c r="P65" s="7"/>
      <c r="Q65" s="7"/>
      <c r="R65" s="7"/>
      <c r="S65" s="7"/>
      <c r="T65" s="7"/>
    </row>
    <row r="66" spans="1:20" ht="15" customHeight="1">
      <c r="A66" s="8" t="s">
        <v>398</v>
      </c>
      <c r="B66" s="6" t="e">
        <f>_xlfn.XLOOKUP(E66,#REF!,#REF!)</f>
        <v>#REF!</v>
      </c>
      <c r="C66" s="6" t="e">
        <f t="shared" si="0"/>
        <v>#REF!</v>
      </c>
      <c r="D66" s="7" t="s">
        <v>100</v>
      </c>
      <c r="E66" s="8" t="s">
        <v>399</v>
      </c>
      <c r="F66" s="7" t="s">
        <v>96</v>
      </c>
      <c r="G66" s="7" t="s">
        <v>96</v>
      </c>
      <c r="H66" s="7" t="s">
        <v>96</v>
      </c>
      <c r="I66" s="7" t="s">
        <v>96</v>
      </c>
      <c r="J66" s="7" t="s">
        <v>95</v>
      </c>
      <c r="K66" s="7" t="s">
        <v>96</v>
      </c>
      <c r="L66" s="7" t="s">
        <v>96</v>
      </c>
      <c r="M66" s="7" t="s">
        <v>108</v>
      </c>
      <c r="N66" s="7" t="s">
        <v>109</v>
      </c>
      <c r="O66" s="7" t="s">
        <v>110</v>
      </c>
      <c r="P66" s="7" t="s">
        <v>1313</v>
      </c>
      <c r="Q66" s="7" t="s">
        <v>1094</v>
      </c>
      <c r="R66" s="10" t="s">
        <v>1124</v>
      </c>
      <c r="S66" s="11">
        <v>45760</v>
      </c>
      <c r="T66" s="7" t="s">
        <v>1074</v>
      </c>
    </row>
    <row r="67" spans="1:20" ht="12" customHeight="1">
      <c r="A67" s="8" t="s">
        <v>402</v>
      </c>
      <c r="B67" s="6" t="e">
        <f>_xlfn.XLOOKUP(E67,#REF!,#REF!)</f>
        <v>#REF!</v>
      </c>
      <c r="C67" s="6" t="e">
        <f t="shared" ref="C67:C130" si="1">A67=B67</f>
        <v>#REF!</v>
      </c>
      <c r="D67" s="7" t="s">
        <v>132</v>
      </c>
      <c r="E67" s="8" t="s">
        <v>403</v>
      </c>
      <c r="F67" s="7" t="s">
        <v>96</v>
      </c>
      <c r="G67" s="7" t="s">
        <v>95</v>
      </c>
      <c r="H67" s="7" t="s">
        <v>95</v>
      </c>
      <c r="I67" s="7" t="s">
        <v>95</v>
      </c>
      <c r="J67" s="7" t="s">
        <v>95</v>
      </c>
      <c r="K67" s="7" t="s">
        <v>95</v>
      </c>
      <c r="L67" s="7" t="s">
        <v>96</v>
      </c>
      <c r="M67" s="7" t="s">
        <v>108</v>
      </c>
      <c r="N67" s="7" t="s">
        <v>148</v>
      </c>
      <c r="O67" s="7" t="s">
        <v>203</v>
      </c>
      <c r="P67" s="7" t="s">
        <v>1314</v>
      </c>
      <c r="Q67" s="7"/>
      <c r="R67" s="7" t="s">
        <v>1235</v>
      </c>
      <c r="S67" s="11">
        <v>45755</v>
      </c>
      <c r="T67" s="7"/>
    </row>
    <row r="68" spans="1:20" ht="12" customHeight="1">
      <c r="A68" s="8" t="s">
        <v>405</v>
      </c>
      <c r="B68" s="6" t="e">
        <f>_xlfn.XLOOKUP(E68,#REF!,#REF!)</f>
        <v>#REF!</v>
      </c>
      <c r="C68" s="6" t="e">
        <f t="shared" si="1"/>
        <v>#REF!</v>
      </c>
      <c r="D68" s="7" t="s">
        <v>132</v>
      </c>
      <c r="E68" s="8" t="s">
        <v>406</v>
      </c>
      <c r="F68" s="7" t="s">
        <v>96</v>
      </c>
      <c r="G68" s="7" t="s">
        <v>96</v>
      </c>
      <c r="H68" s="7" t="s">
        <v>96</v>
      </c>
      <c r="I68" s="7" t="s">
        <v>95</v>
      </c>
      <c r="J68" s="7" t="s">
        <v>95</v>
      </c>
      <c r="K68" s="7" t="s">
        <v>95</v>
      </c>
      <c r="L68" s="7" t="s">
        <v>95</v>
      </c>
      <c r="M68" s="7" t="s">
        <v>108</v>
      </c>
      <c r="N68" s="7" t="s">
        <v>109</v>
      </c>
      <c r="O68" s="7" t="s">
        <v>110</v>
      </c>
      <c r="P68" s="7" t="s">
        <v>1315</v>
      </c>
      <c r="Q68" s="7"/>
      <c r="R68" s="7" t="s">
        <v>1236</v>
      </c>
      <c r="S68" s="11">
        <v>45744</v>
      </c>
      <c r="T68" s="7"/>
    </row>
    <row r="69" spans="1:20" ht="12" customHeight="1">
      <c r="A69" s="6" t="s">
        <v>409</v>
      </c>
      <c r="B69" s="6" t="e">
        <f>_xlfn.XLOOKUP(E69,#REF!,#REF!)</f>
        <v>#REF!</v>
      </c>
      <c r="C69" s="6" t="e">
        <f t="shared" si="1"/>
        <v>#REF!</v>
      </c>
      <c r="D69" s="7" t="s">
        <v>100</v>
      </c>
      <c r="E69" s="7" t="s">
        <v>410</v>
      </c>
      <c r="F69" s="7" t="s">
        <v>95</v>
      </c>
      <c r="G69" s="7" t="s">
        <v>95</v>
      </c>
      <c r="H69" s="7" t="s">
        <v>95</v>
      </c>
      <c r="I69" s="7" t="s">
        <v>95</v>
      </c>
      <c r="J69" s="7" t="s">
        <v>95</v>
      </c>
      <c r="K69" s="7" t="s">
        <v>95</v>
      </c>
      <c r="L69" s="7" t="s">
        <v>95</v>
      </c>
      <c r="M69" s="7"/>
      <c r="N69" s="7"/>
      <c r="O69" s="7"/>
      <c r="P69" s="7"/>
      <c r="Q69" s="7"/>
      <c r="R69" s="7"/>
      <c r="S69" s="7"/>
      <c r="T69" s="7"/>
    </row>
    <row r="70" spans="1:20" ht="12" customHeight="1">
      <c r="A70" s="8" t="s">
        <v>413</v>
      </c>
      <c r="B70" s="6" t="e">
        <f>_xlfn.XLOOKUP(E70,#REF!,#REF!)</f>
        <v>#REF!</v>
      </c>
      <c r="C70" s="6" t="e">
        <f t="shared" si="1"/>
        <v>#REF!</v>
      </c>
      <c r="D70" s="7" t="s">
        <v>120</v>
      </c>
      <c r="E70" s="8" t="s">
        <v>414</v>
      </c>
      <c r="F70" s="7" t="s">
        <v>96</v>
      </c>
      <c r="G70" s="7" t="s">
        <v>96</v>
      </c>
      <c r="H70" s="7" t="s">
        <v>95</v>
      </c>
      <c r="I70" s="7" t="s">
        <v>96</v>
      </c>
      <c r="J70" s="7" t="s">
        <v>95</v>
      </c>
      <c r="K70" s="7" t="s">
        <v>95</v>
      </c>
      <c r="L70" s="7" t="s">
        <v>95</v>
      </c>
      <c r="M70" s="7" t="s">
        <v>108</v>
      </c>
      <c r="N70" s="7" t="s">
        <v>109</v>
      </c>
      <c r="O70" s="7" t="s">
        <v>110</v>
      </c>
      <c r="P70" s="7" t="s">
        <v>1316</v>
      </c>
      <c r="Q70" s="7"/>
      <c r="R70" s="1" t="s">
        <v>1076</v>
      </c>
      <c r="S70" s="11"/>
      <c r="T70" s="7"/>
    </row>
    <row r="71" spans="1:20" ht="15" customHeight="1">
      <c r="A71" s="8" t="s">
        <v>417</v>
      </c>
      <c r="B71" s="6" t="e">
        <f>_xlfn.XLOOKUP(E71,#REF!,#REF!)</f>
        <v>#REF!</v>
      </c>
      <c r="C71" s="6" t="e">
        <f t="shared" si="1"/>
        <v>#REF!</v>
      </c>
      <c r="D71" s="7" t="s">
        <v>100</v>
      </c>
      <c r="E71" s="8" t="s">
        <v>418</v>
      </c>
      <c r="F71" s="7" t="s">
        <v>96</v>
      </c>
      <c r="G71" s="7" t="s">
        <v>96</v>
      </c>
      <c r="H71" s="7" t="s">
        <v>96</v>
      </c>
      <c r="I71" s="7" t="s">
        <v>96</v>
      </c>
      <c r="J71" s="7" t="s">
        <v>95</v>
      </c>
      <c r="K71" s="7" t="s">
        <v>96</v>
      </c>
      <c r="L71" s="7" t="s">
        <v>96</v>
      </c>
      <c r="M71" s="7" t="s">
        <v>108</v>
      </c>
      <c r="N71" s="7" t="s">
        <v>109</v>
      </c>
      <c r="O71" s="7" t="s">
        <v>110</v>
      </c>
      <c r="P71" s="7" t="s">
        <v>1317</v>
      </c>
      <c r="Q71" s="7" t="s">
        <v>1094</v>
      </c>
      <c r="R71" s="10" t="s">
        <v>1125</v>
      </c>
      <c r="S71" s="11">
        <v>45758</v>
      </c>
      <c r="T71" s="7" t="s">
        <v>1126</v>
      </c>
    </row>
    <row r="72" spans="1:20" ht="15" customHeight="1">
      <c r="A72" s="8" t="s">
        <v>422</v>
      </c>
      <c r="B72" s="6" t="e">
        <f>_xlfn.XLOOKUP(E72,#REF!,#REF!)</f>
        <v>#REF!</v>
      </c>
      <c r="C72" s="6" t="e">
        <f t="shared" si="1"/>
        <v>#REF!</v>
      </c>
      <c r="D72" s="7" t="s">
        <v>100</v>
      </c>
      <c r="E72" s="8" t="s">
        <v>423</v>
      </c>
      <c r="F72" s="7" t="s">
        <v>96</v>
      </c>
      <c r="G72" s="7" t="s">
        <v>96</v>
      </c>
      <c r="H72" s="7" t="s">
        <v>96</v>
      </c>
      <c r="I72" s="7" t="s">
        <v>96</v>
      </c>
      <c r="J72" s="7" t="s">
        <v>95</v>
      </c>
      <c r="K72" s="7" t="s">
        <v>96</v>
      </c>
      <c r="L72" s="7" t="s">
        <v>96</v>
      </c>
      <c r="M72" s="7" t="s">
        <v>108</v>
      </c>
      <c r="N72" s="7" t="s">
        <v>109</v>
      </c>
      <c r="O72" s="7" t="s">
        <v>110</v>
      </c>
      <c r="P72" s="7" t="s">
        <v>1318</v>
      </c>
      <c r="Q72" s="7" t="s">
        <v>1094</v>
      </c>
      <c r="R72" s="10" t="s">
        <v>1127</v>
      </c>
      <c r="S72" s="11">
        <v>45693</v>
      </c>
      <c r="T72" s="9" t="s">
        <v>1128</v>
      </c>
    </row>
    <row r="73" spans="1:20" ht="12" customHeight="1">
      <c r="A73" s="8" t="s">
        <v>427</v>
      </c>
      <c r="B73" s="6" t="e">
        <f>_xlfn.XLOOKUP(E73,#REF!,#REF!)</f>
        <v>#REF!</v>
      </c>
      <c r="C73" s="6" t="e">
        <f t="shared" si="1"/>
        <v>#REF!</v>
      </c>
      <c r="D73" s="7" t="s">
        <v>120</v>
      </c>
      <c r="E73" s="8" t="s">
        <v>428</v>
      </c>
      <c r="F73" s="7" t="s">
        <v>96</v>
      </c>
      <c r="G73" s="7" t="s">
        <v>96</v>
      </c>
      <c r="H73" s="7" t="s">
        <v>96</v>
      </c>
      <c r="I73" s="7" t="s">
        <v>96</v>
      </c>
      <c r="J73" s="7" t="s">
        <v>95</v>
      </c>
      <c r="K73" s="7" t="s">
        <v>95</v>
      </c>
      <c r="L73" s="7" t="s">
        <v>96</v>
      </c>
      <c r="M73" s="7" t="s">
        <v>198</v>
      </c>
      <c r="N73" s="7" t="s">
        <v>198</v>
      </c>
      <c r="O73" s="7" t="s">
        <v>110</v>
      </c>
      <c r="P73" s="7" t="s">
        <v>1319</v>
      </c>
      <c r="Q73" s="7"/>
      <c r="R73" s="7" t="s">
        <v>1077</v>
      </c>
      <c r="S73" s="11">
        <v>45755</v>
      </c>
      <c r="T73" s="7" t="s">
        <v>1078</v>
      </c>
    </row>
    <row r="74" spans="1:20" ht="12" customHeight="1">
      <c r="A74" s="8" t="s">
        <v>430</v>
      </c>
      <c r="B74" s="6" t="e">
        <f>_xlfn.XLOOKUP(E74,#REF!,#REF!)</f>
        <v>#REF!</v>
      </c>
      <c r="C74" s="6" t="e">
        <f t="shared" si="1"/>
        <v>#REF!</v>
      </c>
      <c r="D74" s="7" t="s">
        <v>132</v>
      </c>
      <c r="E74" s="8" t="s">
        <v>431</v>
      </c>
      <c r="F74" s="7" t="s">
        <v>96</v>
      </c>
      <c r="G74" s="7" t="s">
        <v>96</v>
      </c>
      <c r="H74" s="7" t="s">
        <v>95</v>
      </c>
      <c r="I74" s="7" t="s">
        <v>95</v>
      </c>
      <c r="J74" s="7" t="s">
        <v>96</v>
      </c>
      <c r="K74" s="7" t="s">
        <v>95</v>
      </c>
      <c r="L74" s="7" t="s">
        <v>95</v>
      </c>
      <c r="M74" s="7" t="s">
        <v>198</v>
      </c>
      <c r="N74" s="7" t="s">
        <v>198</v>
      </c>
      <c r="O74" s="7" t="s">
        <v>197</v>
      </c>
      <c r="P74" s="7" t="s">
        <v>1320</v>
      </c>
      <c r="Q74" s="7"/>
      <c r="R74" s="7" t="s">
        <v>1237</v>
      </c>
      <c r="S74" s="11">
        <v>45755</v>
      </c>
      <c r="T74" s="7"/>
    </row>
    <row r="75" spans="1:20" ht="12" customHeight="1">
      <c r="A75" s="8" t="s">
        <v>436</v>
      </c>
      <c r="B75" s="6" t="e">
        <f>_xlfn.XLOOKUP(E75,#REF!,#REF!)</f>
        <v>#REF!</v>
      </c>
      <c r="C75" s="6" t="e">
        <f t="shared" si="1"/>
        <v>#REF!</v>
      </c>
      <c r="D75" s="7" t="s">
        <v>132</v>
      </c>
      <c r="E75" s="8" t="s">
        <v>437</v>
      </c>
      <c r="F75" s="7" t="s">
        <v>96</v>
      </c>
      <c r="G75" s="7" t="s">
        <v>96</v>
      </c>
      <c r="H75" s="7" t="s">
        <v>95</v>
      </c>
      <c r="I75" s="7" t="s">
        <v>95</v>
      </c>
      <c r="J75" s="7" t="s">
        <v>95</v>
      </c>
      <c r="K75" s="7" t="s">
        <v>95</v>
      </c>
      <c r="L75" s="7" t="s">
        <v>95</v>
      </c>
      <c r="M75" s="7" t="s">
        <v>198</v>
      </c>
      <c r="N75" s="7" t="s">
        <v>198</v>
      </c>
      <c r="O75" s="7" t="s">
        <v>149</v>
      </c>
      <c r="P75" s="7" t="s">
        <v>1321</v>
      </c>
      <c r="Q75" s="7"/>
      <c r="R75" s="10" t="s">
        <v>1238</v>
      </c>
      <c r="S75" s="11">
        <v>45755</v>
      </c>
      <c r="T75" s="7"/>
    </row>
    <row r="76" spans="1:20" ht="16.25" customHeight="1">
      <c r="A76" s="8" t="s">
        <v>438</v>
      </c>
      <c r="B76" s="6" t="e">
        <f>_xlfn.XLOOKUP(E76,#REF!,#REF!)</f>
        <v>#REF!</v>
      </c>
      <c r="C76" s="6" t="e">
        <f t="shared" si="1"/>
        <v>#REF!</v>
      </c>
      <c r="D76" s="7" t="s">
        <v>100</v>
      </c>
      <c r="E76" s="8" t="s">
        <v>439</v>
      </c>
      <c r="F76" s="7" t="s">
        <v>96</v>
      </c>
      <c r="G76" s="7" t="s">
        <v>95</v>
      </c>
      <c r="H76" s="7" t="s">
        <v>96</v>
      </c>
      <c r="I76" s="7" t="s">
        <v>96</v>
      </c>
      <c r="J76" s="7" t="s">
        <v>95</v>
      </c>
      <c r="K76" s="7" t="s">
        <v>95</v>
      </c>
      <c r="L76" s="7" t="s">
        <v>96</v>
      </c>
      <c r="M76" s="7" t="s">
        <v>108</v>
      </c>
      <c r="N76" s="7" t="s">
        <v>109</v>
      </c>
      <c r="O76" s="7" t="s">
        <v>110</v>
      </c>
      <c r="P76" s="7" t="s">
        <v>1322</v>
      </c>
      <c r="Q76" s="7"/>
      <c r="R76" s="10" t="s">
        <v>1130</v>
      </c>
      <c r="S76" s="11">
        <v>45750</v>
      </c>
      <c r="T76" s="7" t="s">
        <v>1131</v>
      </c>
    </row>
    <row r="77" spans="1:20" ht="15" customHeight="1">
      <c r="A77" s="8" t="s">
        <v>444</v>
      </c>
      <c r="B77" s="6" t="e">
        <f>_xlfn.XLOOKUP(E77,#REF!,#REF!)</f>
        <v>#REF!</v>
      </c>
      <c r="C77" s="6" t="e">
        <f t="shared" si="1"/>
        <v>#REF!</v>
      </c>
      <c r="D77" s="7" t="s">
        <v>100</v>
      </c>
      <c r="E77" s="8" t="s">
        <v>445</v>
      </c>
      <c r="F77" s="7" t="s">
        <v>96</v>
      </c>
      <c r="G77" s="7" t="s">
        <v>96</v>
      </c>
      <c r="H77" s="7" t="s">
        <v>96</v>
      </c>
      <c r="I77" s="7" t="s">
        <v>96</v>
      </c>
      <c r="J77" s="7" t="s">
        <v>95</v>
      </c>
      <c r="K77" s="7" t="s">
        <v>96</v>
      </c>
      <c r="L77" s="7" t="s">
        <v>96</v>
      </c>
      <c r="M77" s="7" t="s">
        <v>108</v>
      </c>
      <c r="N77" s="7" t="s">
        <v>109</v>
      </c>
      <c r="O77" s="7" t="s">
        <v>110</v>
      </c>
      <c r="P77" s="7" t="s">
        <v>1323</v>
      </c>
      <c r="Q77" s="7" t="s">
        <v>1094</v>
      </c>
      <c r="R77" s="10" t="s">
        <v>1121</v>
      </c>
      <c r="S77" s="11">
        <v>45693</v>
      </c>
      <c r="T77" s="7" t="s">
        <v>1074</v>
      </c>
    </row>
    <row r="78" spans="1:20" ht="12" customHeight="1">
      <c r="A78" s="8" t="s">
        <v>450</v>
      </c>
      <c r="B78" s="6" t="e">
        <f>_xlfn.XLOOKUP(E78,#REF!,#REF!)</f>
        <v>#REF!</v>
      </c>
      <c r="C78" s="6" t="e">
        <f t="shared" si="1"/>
        <v>#REF!</v>
      </c>
      <c r="D78" s="7" t="s">
        <v>132</v>
      </c>
      <c r="E78" s="8" t="s">
        <v>451</v>
      </c>
      <c r="F78" s="7" t="s">
        <v>96</v>
      </c>
      <c r="G78" s="7" t="s">
        <v>96</v>
      </c>
      <c r="H78" s="7" t="s">
        <v>95</v>
      </c>
      <c r="I78" s="7" t="s">
        <v>95</v>
      </c>
      <c r="J78" s="7" t="s">
        <v>95</v>
      </c>
      <c r="K78" s="7" t="s">
        <v>95</v>
      </c>
      <c r="L78" s="7" t="s">
        <v>95</v>
      </c>
      <c r="M78" s="7" t="s">
        <v>198</v>
      </c>
      <c r="N78" s="7" t="s">
        <v>148</v>
      </c>
      <c r="O78" s="7" t="s">
        <v>149</v>
      </c>
      <c r="P78" s="7" t="s">
        <v>1324</v>
      </c>
      <c r="Q78" s="7" t="s">
        <v>1094</v>
      </c>
      <c r="R78" s="12" t="s">
        <v>1234</v>
      </c>
      <c r="S78" s="11">
        <v>45750</v>
      </c>
      <c r="T78" s="7"/>
    </row>
    <row r="79" spans="1:20" ht="12" customHeight="1">
      <c r="A79" s="8" t="s">
        <v>455</v>
      </c>
      <c r="B79" s="6" t="e">
        <f>_xlfn.XLOOKUP(E79,#REF!,#REF!)</f>
        <v>#REF!</v>
      </c>
      <c r="C79" s="6" t="e">
        <f t="shared" si="1"/>
        <v>#REF!</v>
      </c>
      <c r="D79" s="7" t="s">
        <v>100</v>
      </c>
      <c r="E79" s="8" t="s">
        <v>456</v>
      </c>
      <c r="F79" s="7" t="s">
        <v>96</v>
      </c>
      <c r="G79" s="7" t="s">
        <v>95</v>
      </c>
      <c r="H79" s="7" t="s">
        <v>95</v>
      </c>
      <c r="I79" s="7" t="s">
        <v>95</v>
      </c>
      <c r="J79" s="7" t="s">
        <v>95</v>
      </c>
      <c r="K79" s="7" t="s">
        <v>95</v>
      </c>
      <c r="L79" s="7" t="s">
        <v>96</v>
      </c>
      <c r="M79" s="7" t="s">
        <v>108</v>
      </c>
      <c r="N79" s="7" t="s">
        <v>109</v>
      </c>
      <c r="O79" s="7" t="s">
        <v>110</v>
      </c>
      <c r="P79" s="7" t="s">
        <v>1325</v>
      </c>
      <c r="Q79" s="7"/>
      <c r="R79" s="7" t="s">
        <v>1132</v>
      </c>
      <c r="S79" s="11">
        <v>45755</v>
      </c>
      <c r="T79" s="7"/>
    </row>
    <row r="80" spans="1:20" ht="13.25" customHeight="1">
      <c r="A80" s="8" t="s">
        <v>460</v>
      </c>
      <c r="B80" s="6" t="e">
        <f>_xlfn.XLOOKUP(E80,#REF!,#REF!)</f>
        <v>#REF!</v>
      </c>
      <c r="C80" s="6" t="e">
        <f t="shared" si="1"/>
        <v>#REF!</v>
      </c>
      <c r="D80" s="7" t="s">
        <v>100</v>
      </c>
      <c r="E80" s="8" t="s">
        <v>461</v>
      </c>
      <c r="F80" s="7" t="s">
        <v>96</v>
      </c>
      <c r="G80" s="7" t="s">
        <v>96</v>
      </c>
      <c r="H80" s="7" t="s">
        <v>96</v>
      </c>
      <c r="I80" s="7" t="s">
        <v>96</v>
      </c>
      <c r="J80" s="7" t="s">
        <v>95</v>
      </c>
      <c r="K80" s="7" t="s">
        <v>96</v>
      </c>
      <c r="L80" s="7" t="s">
        <v>96</v>
      </c>
      <c r="M80" s="7" t="s">
        <v>108</v>
      </c>
      <c r="N80" s="7" t="s">
        <v>109</v>
      </c>
      <c r="O80" s="7" t="s">
        <v>110</v>
      </c>
      <c r="P80" s="7" t="s">
        <v>1326</v>
      </c>
      <c r="Q80" s="7" t="s">
        <v>1094</v>
      </c>
      <c r="R80" s="10" t="s">
        <v>1133</v>
      </c>
      <c r="S80" s="11">
        <v>45693</v>
      </c>
      <c r="T80" s="7" t="s">
        <v>1074</v>
      </c>
    </row>
    <row r="81" spans="1:20" ht="12" customHeight="1">
      <c r="A81" s="6" t="s">
        <v>467</v>
      </c>
      <c r="B81" s="6" t="e">
        <f>_xlfn.XLOOKUP(E81,#REF!,#REF!)</f>
        <v>#REF!</v>
      </c>
      <c r="C81" s="6" t="e">
        <f t="shared" si="1"/>
        <v>#REF!</v>
      </c>
      <c r="D81" s="7" t="s">
        <v>100</v>
      </c>
      <c r="E81" s="7" t="s">
        <v>468</v>
      </c>
      <c r="F81" s="7" t="s">
        <v>95</v>
      </c>
      <c r="G81" s="7" t="s">
        <v>95</v>
      </c>
      <c r="H81" s="7" t="s">
        <v>95</v>
      </c>
      <c r="I81" s="7" t="s">
        <v>95</v>
      </c>
      <c r="J81" s="7" t="s">
        <v>95</v>
      </c>
      <c r="K81" s="7" t="s">
        <v>95</v>
      </c>
      <c r="L81" s="7" t="s">
        <v>95</v>
      </c>
      <c r="M81" s="7"/>
      <c r="N81" s="7"/>
      <c r="O81" s="7"/>
      <c r="P81" s="7"/>
      <c r="Q81" s="7"/>
      <c r="R81" s="7"/>
      <c r="S81" s="7"/>
      <c r="T81" s="7"/>
    </row>
    <row r="82" spans="1:20" ht="12" customHeight="1">
      <c r="A82" s="6" t="s">
        <v>471</v>
      </c>
      <c r="B82" s="6" t="e">
        <f>_xlfn.XLOOKUP(E82,#REF!,#REF!)</f>
        <v>#REF!</v>
      </c>
      <c r="C82" s="6" t="e">
        <f t="shared" si="1"/>
        <v>#REF!</v>
      </c>
      <c r="D82" s="7" t="s">
        <v>137</v>
      </c>
      <c r="E82" s="7" t="s">
        <v>472</v>
      </c>
      <c r="F82" s="7" t="s">
        <v>95</v>
      </c>
      <c r="G82" s="7" t="s">
        <v>95</v>
      </c>
      <c r="H82" s="7" t="s">
        <v>95</v>
      </c>
      <c r="I82" s="7" t="s">
        <v>95</v>
      </c>
      <c r="J82" s="7" t="s">
        <v>95</v>
      </c>
      <c r="K82" s="7" t="s">
        <v>95</v>
      </c>
      <c r="L82" s="7" t="s">
        <v>95</v>
      </c>
      <c r="M82" s="7"/>
      <c r="N82" s="7"/>
      <c r="O82" s="7"/>
      <c r="P82" s="7"/>
      <c r="Q82" s="7"/>
      <c r="R82" s="1"/>
      <c r="S82" s="11"/>
      <c r="T82" s="7"/>
    </row>
    <row r="83" spans="1:20" ht="12" customHeight="1">
      <c r="A83" s="8" t="s">
        <v>475</v>
      </c>
      <c r="B83" s="6" t="e">
        <f>_xlfn.XLOOKUP(E83,#REF!,#REF!)</f>
        <v>#REF!</v>
      </c>
      <c r="C83" s="6" t="e">
        <f t="shared" si="1"/>
        <v>#REF!</v>
      </c>
      <c r="D83" s="7" t="s">
        <v>120</v>
      </c>
      <c r="E83" s="8" t="s">
        <v>476</v>
      </c>
      <c r="F83" s="7" t="s">
        <v>96</v>
      </c>
      <c r="G83" s="7" t="s">
        <v>96</v>
      </c>
      <c r="H83" s="7" t="s">
        <v>95</v>
      </c>
      <c r="I83" s="7" t="s">
        <v>95</v>
      </c>
      <c r="J83" s="7" t="s">
        <v>95</v>
      </c>
      <c r="K83" s="7" t="s">
        <v>95</v>
      </c>
      <c r="L83" s="7" t="s">
        <v>95</v>
      </c>
      <c r="M83" s="7" t="s">
        <v>198</v>
      </c>
      <c r="N83" s="7" t="s">
        <v>198</v>
      </c>
      <c r="O83" s="7" t="s">
        <v>149</v>
      </c>
      <c r="P83" s="7" t="s">
        <v>1327</v>
      </c>
      <c r="Q83" s="7"/>
      <c r="R83" s="7" t="s">
        <v>1328</v>
      </c>
      <c r="S83" s="11">
        <v>45755</v>
      </c>
      <c r="T83" s="7"/>
    </row>
    <row r="84" spans="1:20" ht="12" customHeight="1">
      <c r="A84" s="8" t="s">
        <v>481</v>
      </c>
      <c r="B84" s="6" t="e">
        <f>_xlfn.XLOOKUP(E84,#REF!,#REF!)</f>
        <v>#REF!</v>
      </c>
      <c r="C84" s="6" t="e">
        <f t="shared" si="1"/>
        <v>#REF!</v>
      </c>
      <c r="D84" s="7" t="s">
        <v>137</v>
      </c>
      <c r="E84" s="8" t="s">
        <v>482</v>
      </c>
      <c r="F84" s="7" t="s">
        <v>96</v>
      </c>
      <c r="G84" s="7" t="s">
        <v>95</v>
      </c>
      <c r="H84" s="7" t="s">
        <v>95</v>
      </c>
      <c r="I84" s="7" t="s">
        <v>95</v>
      </c>
      <c r="J84" s="7" t="s">
        <v>95</v>
      </c>
      <c r="K84" s="7" t="s">
        <v>95</v>
      </c>
      <c r="L84" s="7" t="s">
        <v>96</v>
      </c>
      <c r="M84" s="7" t="s">
        <v>198</v>
      </c>
      <c r="N84" s="7" t="s">
        <v>198</v>
      </c>
      <c r="O84" s="7" t="s">
        <v>197</v>
      </c>
      <c r="P84" s="7" t="s">
        <v>1329</v>
      </c>
      <c r="Q84" s="7"/>
      <c r="R84" s="7" t="s">
        <v>1187</v>
      </c>
      <c r="S84" s="11">
        <v>45755</v>
      </c>
      <c r="T84" s="7"/>
    </row>
    <row r="85" spans="1:20" ht="12" customHeight="1">
      <c r="A85" s="6" t="s">
        <v>484</v>
      </c>
      <c r="B85" s="6" t="e">
        <f>_xlfn.XLOOKUP(E85,#REF!,#REF!)</f>
        <v>#REF!</v>
      </c>
      <c r="C85" s="6" t="e">
        <f t="shared" si="1"/>
        <v>#REF!</v>
      </c>
      <c r="D85" s="7" t="s">
        <v>132</v>
      </c>
      <c r="E85" s="7" t="s">
        <v>485</v>
      </c>
      <c r="F85" s="7" t="s">
        <v>95</v>
      </c>
      <c r="G85" s="7" t="s">
        <v>95</v>
      </c>
      <c r="H85" s="7" t="s">
        <v>95</v>
      </c>
      <c r="I85" s="7" t="s">
        <v>95</v>
      </c>
      <c r="J85" s="7" t="s">
        <v>95</v>
      </c>
      <c r="K85" s="7" t="s">
        <v>95</v>
      </c>
      <c r="L85" s="7" t="s">
        <v>95</v>
      </c>
      <c r="M85" s="7"/>
      <c r="N85" s="7"/>
      <c r="O85" s="7"/>
      <c r="P85" s="7"/>
      <c r="Q85" s="7"/>
      <c r="R85" s="7"/>
      <c r="S85" s="7"/>
      <c r="T85" s="7"/>
    </row>
    <row r="86" spans="1:20" ht="12" customHeight="1">
      <c r="A86" s="6" t="s">
        <v>488</v>
      </c>
      <c r="B86" s="6" t="e">
        <f>_xlfn.XLOOKUP(E86,#REF!,#REF!)</f>
        <v>#REF!</v>
      </c>
      <c r="C86" s="6" t="e">
        <f t="shared" si="1"/>
        <v>#REF!</v>
      </c>
      <c r="D86" s="7" t="s">
        <v>132</v>
      </c>
      <c r="E86" s="7" t="s">
        <v>489</v>
      </c>
      <c r="F86" s="7" t="s">
        <v>95</v>
      </c>
      <c r="G86" s="7" t="s">
        <v>95</v>
      </c>
      <c r="H86" s="7" t="s">
        <v>95</v>
      </c>
      <c r="I86" s="7" t="s">
        <v>95</v>
      </c>
      <c r="J86" s="7" t="s">
        <v>95</v>
      </c>
      <c r="K86" s="7" t="s">
        <v>95</v>
      </c>
      <c r="L86" s="7" t="s">
        <v>95</v>
      </c>
      <c r="M86" s="7"/>
      <c r="N86" s="7"/>
      <c r="O86" s="7"/>
      <c r="P86" s="7"/>
      <c r="Q86" s="7"/>
      <c r="R86" s="7"/>
      <c r="S86" s="7"/>
      <c r="T86" s="7"/>
    </row>
    <row r="87" spans="1:20" ht="12" customHeight="1">
      <c r="A87" s="8" t="s">
        <v>491</v>
      </c>
      <c r="B87" s="6" t="e">
        <f>_xlfn.XLOOKUP(E87,#REF!,#REF!)</f>
        <v>#REF!</v>
      </c>
      <c r="C87" s="6" t="e">
        <f t="shared" si="1"/>
        <v>#REF!</v>
      </c>
      <c r="D87" s="7" t="s">
        <v>137</v>
      </c>
      <c r="E87" s="8" t="s">
        <v>492</v>
      </c>
      <c r="F87" s="7" t="s">
        <v>96</v>
      </c>
      <c r="G87" s="7" t="s">
        <v>95</v>
      </c>
      <c r="H87" s="7" t="s">
        <v>95</v>
      </c>
      <c r="I87" s="7" t="s">
        <v>95</v>
      </c>
      <c r="J87" s="7" t="s">
        <v>95</v>
      </c>
      <c r="K87" s="7" t="s">
        <v>95</v>
      </c>
      <c r="L87" s="7" t="s">
        <v>96</v>
      </c>
      <c r="M87" s="7" t="s">
        <v>198</v>
      </c>
      <c r="N87" s="7" t="s">
        <v>198</v>
      </c>
      <c r="O87" s="7" t="s">
        <v>149</v>
      </c>
      <c r="P87" s="7" t="s">
        <v>1330</v>
      </c>
      <c r="Q87" s="7"/>
      <c r="R87" s="1" t="s">
        <v>1188</v>
      </c>
      <c r="S87" s="11">
        <v>45755</v>
      </c>
      <c r="T87" s="7"/>
    </row>
    <row r="88" spans="1:20" ht="12" customHeight="1">
      <c r="A88" s="6" t="s">
        <v>494</v>
      </c>
      <c r="B88" s="6" t="e">
        <f>_xlfn.XLOOKUP(E88,#REF!,#REF!)</f>
        <v>#REF!</v>
      </c>
      <c r="C88" s="6" t="e">
        <f t="shared" si="1"/>
        <v>#REF!</v>
      </c>
      <c r="D88" s="7" t="s">
        <v>137</v>
      </c>
      <c r="E88" s="7" t="s">
        <v>495</v>
      </c>
      <c r="F88" s="7" t="s">
        <v>95</v>
      </c>
      <c r="G88" s="7" t="s">
        <v>95</v>
      </c>
      <c r="H88" s="7" t="s">
        <v>95</v>
      </c>
      <c r="I88" s="7" t="s">
        <v>95</v>
      </c>
      <c r="J88" s="7" t="s">
        <v>95</v>
      </c>
      <c r="K88" s="7" t="s">
        <v>95</v>
      </c>
      <c r="L88" s="7" t="s">
        <v>95</v>
      </c>
      <c r="M88" s="7"/>
      <c r="N88" s="7"/>
      <c r="O88" s="7"/>
      <c r="P88" s="7"/>
      <c r="Q88" s="7"/>
      <c r="R88" s="7"/>
      <c r="S88" s="7"/>
      <c r="T88" s="7"/>
    </row>
    <row r="89" spans="1:20" ht="12" customHeight="1">
      <c r="A89" s="8" t="s">
        <v>498</v>
      </c>
      <c r="B89" s="6" t="e">
        <f>_xlfn.XLOOKUP(E89,#REF!,#REF!)</f>
        <v>#REF!</v>
      </c>
      <c r="C89" s="6" t="e">
        <f t="shared" si="1"/>
        <v>#REF!</v>
      </c>
      <c r="D89" s="7" t="s">
        <v>137</v>
      </c>
      <c r="E89" s="8" t="s">
        <v>499</v>
      </c>
      <c r="F89" s="7" t="s">
        <v>96</v>
      </c>
      <c r="G89" s="7" t="s">
        <v>95</v>
      </c>
      <c r="H89" s="7" t="s">
        <v>95</v>
      </c>
      <c r="I89" s="7" t="s">
        <v>95</v>
      </c>
      <c r="J89" s="7" t="s">
        <v>95</v>
      </c>
      <c r="K89" s="7" t="s">
        <v>95</v>
      </c>
      <c r="L89" s="7" t="s">
        <v>96</v>
      </c>
      <c r="M89" s="7" t="s">
        <v>198</v>
      </c>
      <c r="N89" s="7" t="s">
        <v>198</v>
      </c>
      <c r="O89" s="7" t="s">
        <v>197</v>
      </c>
      <c r="P89" s="7" t="s">
        <v>1331</v>
      </c>
      <c r="Q89" s="7"/>
      <c r="R89" s="7" t="s">
        <v>1189</v>
      </c>
      <c r="S89" s="11">
        <v>45755</v>
      </c>
      <c r="T89" s="7"/>
    </row>
    <row r="90" spans="1:20" ht="17" customHeight="1">
      <c r="A90" s="8" t="s">
        <v>501</v>
      </c>
      <c r="B90" s="6" t="e">
        <f>_xlfn.XLOOKUP(E90,#REF!,#REF!)</f>
        <v>#REF!</v>
      </c>
      <c r="C90" s="6" t="e">
        <f t="shared" si="1"/>
        <v>#REF!</v>
      </c>
      <c r="D90" s="7" t="s">
        <v>120</v>
      </c>
      <c r="E90" s="8" t="s">
        <v>502</v>
      </c>
      <c r="F90" s="7" t="s">
        <v>96</v>
      </c>
      <c r="G90" s="7" t="s">
        <v>96</v>
      </c>
      <c r="H90" s="7" t="s">
        <v>96</v>
      </c>
      <c r="I90" s="7" t="s">
        <v>95</v>
      </c>
      <c r="J90" s="7" t="s">
        <v>95</v>
      </c>
      <c r="K90" s="7" t="s">
        <v>95</v>
      </c>
      <c r="L90" s="7" t="s">
        <v>95</v>
      </c>
      <c r="M90" s="7" t="s">
        <v>198</v>
      </c>
      <c r="N90" s="7" t="s">
        <v>198</v>
      </c>
      <c r="O90" s="7" t="s">
        <v>110</v>
      </c>
      <c r="P90" s="7" t="s">
        <v>1332</v>
      </c>
      <c r="Q90" s="7"/>
      <c r="R90" s="7" t="s">
        <v>1079</v>
      </c>
      <c r="S90" s="11">
        <v>45755</v>
      </c>
      <c r="T90" s="7"/>
    </row>
    <row r="91" spans="1:20" ht="19.25" customHeight="1">
      <c r="A91" s="8" t="s">
        <v>506</v>
      </c>
      <c r="B91" s="6" t="e">
        <f>_xlfn.XLOOKUP(E91,#REF!,#REF!)</f>
        <v>#REF!</v>
      </c>
      <c r="C91" s="6" t="e">
        <f t="shared" si="1"/>
        <v>#REF!</v>
      </c>
      <c r="D91" s="7" t="s">
        <v>100</v>
      </c>
      <c r="E91" s="8" t="s">
        <v>507</v>
      </c>
      <c r="F91" s="7" t="s">
        <v>96</v>
      </c>
      <c r="G91" s="7" t="s">
        <v>96</v>
      </c>
      <c r="H91" s="7" t="s">
        <v>96</v>
      </c>
      <c r="I91" s="7" t="s">
        <v>96</v>
      </c>
      <c r="J91" s="7" t="s">
        <v>95</v>
      </c>
      <c r="K91" s="7" t="s">
        <v>96</v>
      </c>
      <c r="L91" s="7" t="s">
        <v>96</v>
      </c>
      <c r="M91" s="7" t="s">
        <v>108</v>
      </c>
      <c r="N91" s="7" t="s">
        <v>109</v>
      </c>
      <c r="O91" s="7" t="s">
        <v>110</v>
      </c>
      <c r="P91" s="7" t="s">
        <v>1333</v>
      </c>
      <c r="Q91" s="7" t="s">
        <v>1094</v>
      </c>
      <c r="R91" s="10" t="s">
        <v>1135</v>
      </c>
      <c r="S91" s="11">
        <v>45693</v>
      </c>
      <c r="T91" s="7" t="s">
        <v>1074</v>
      </c>
    </row>
    <row r="92" spans="1:20" ht="19.25" customHeight="1">
      <c r="A92" s="8" t="s">
        <v>509</v>
      </c>
      <c r="B92" s="6" t="e">
        <f>_xlfn.XLOOKUP(E92,#REF!,#REF!)</f>
        <v>#REF!</v>
      </c>
      <c r="C92" s="6" t="e">
        <f t="shared" si="1"/>
        <v>#REF!</v>
      </c>
      <c r="D92" s="7" t="s">
        <v>100</v>
      </c>
      <c r="E92" s="8" t="s">
        <v>510</v>
      </c>
      <c r="F92" s="7" t="s">
        <v>96</v>
      </c>
      <c r="G92" s="7" t="s">
        <v>96</v>
      </c>
      <c r="H92" s="7" t="s">
        <v>96</v>
      </c>
      <c r="I92" s="7" t="s">
        <v>96</v>
      </c>
      <c r="J92" s="7" t="s">
        <v>96</v>
      </c>
      <c r="K92" s="7" t="s">
        <v>96</v>
      </c>
      <c r="L92" s="7" t="s">
        <v>96</v>
      </c>
      <c r="M92" s="7" t="s">
        <v>345</v>
      </c>
      <c r="N92" s="7" t="s">
        <v>109</v>
      </c>
      <c r="O92" s="7" t="s">
        <v>110</v>
      </c>
      <c r="P92" s="7" t="s">
        <v>1334</v>
      </c>
      <c r="Q92" s="7" t="s">
        <v>1094</v>
      </c>
      <c r="R92" s="17" t="s">
        <v>1137</v>
      </c>
      <c r="S92" s="11">
        <v>45750</v>
      </c>
      <c r="T92" s="7" t="s">
        <v>1138</v>
      </c>
    </row>
    <row r="93" spans="1:20" ht="15" customHeight="1">
      <c r="A93" s="8" t="s">
        <v>514</v>
      </c>
      <c r="B93" s="6" t="e">
        <f>_xlfn.XLOOKUP(E93,#REF!,#REF!)</f>
        <v>#REF!</v>
      </c>
      <c r="C93" s="6" t="e">
        <f t="shared" si="1"/>
        <v>#REF!</v>
      </c>
      <c r="D93" s="7" t="s">
        <v>91</v>
      </c>
      <c r="E93" s="8" t="s">
        <v>515</v>
      </c>
      <c r="F93" s="7" t="s">
        <v>96</v>
      </c>
      <c r="G93" s="7" t="s">
        <v>96</v>
      </c>
      <c r="H93" s="7" t="s">
        <v>96</v>
      </c>
      <c r="I93" s="7" t="s">
        <v>96</v>
      </c>
      <c r="J93" s="7" t="s">
        <v>95</v>
      </c>
      <c r="K93" s="7" t="s">
        <v>95</v>
      </c>
      <c r="L93" s="7" t="s">
        <v>96</v>
      </c>
      <c r="M93" s="7" t="s">
        <v>108</v>
      </c>
      <c r="N93" s="7" t="s">
        <v>109</v>
      </c>
      <c r="O93" s="7" t="s">
        <v>110</v>
      </c>
      <c r="P93" s="7" t="s">
        <v>1335</v>
      </c>
      <c r="Q93" s="7" t="s">
        <v>1094</v>
      </c>
      <c r="R93" s="12" t="s">
        <v>1222</v>
      </c>
      <c r="S93" s="11">
        <v>45693</v>
      </c>
      <c r="T93" s="7" t="s">
        <v>1336</v>
      </c>
    </row>
    <row r="94" spans="1:20" ht="15" customHeight="1">
      <c r="A94" s="8" t="s">
        <v>519</v>
      </c>
      <c r="B94" s="6" t="e">
        <f>_xlfn.XLOOKUP(E94,#REF!,#REF!)</f>
        <v>#REF!</v>
      </c>
      <c r="C94" s="6" t="e">
        <f t="shared" si="1"/>
        <v>#REF!</v>
      </c>
      <c r="D94" s="7" t="s">
        <v>120</v>
      </c>
      <c r="E94" s="8" t="s">
        <v>520</v>
      </c>
      <c r="F94" s="7" t="s">
        <v>96</v>
      </c>
      <c r="G94" s="7" t="s">
        <v>96</v>
      </c>
      <c r="H94" s="7" t="s">
        <v>95</v>
      </c>
      <c r="I94" s="7" t="s">
        <v>95</v>
      </c>
      <c r="J94" s="7" t="s">
        <v>96</v>
      </c>
      <c r="K94" s="7" t="s">
        <v>95</v>
      </c>
      <c r="L94" s="7" t="s">
        <v>95</v>
      </c>
      <c r="M94" s="7" t="s">
        <v>198</v>
      </c>
      <c r="N94" s="7" t="s">
        <v>109</v>
      </c>
      <c r="O94" s="7" t="s">
        <v>110</v>
      </c>
      <c r="P94" s="7" t="s">
        <v>1337</v>
      </c>
      <c r="Q94" s="7" t="s">
        <v>1094</v>
      </c>
      <c r="R94" s="12" t="s">
        <v>1080</v>
      </c>
      <c r="S94" s="11">
        <v>45750</v>
      </c>
      <c r="T94" s="7"/>
    </row>
    <row r="95" spans="1:20" ht="15" customHeight="1">
      <c r="A95" s="8" t="s">
        <v>525</v>
      </c>
      <c r="B95" s="6" t="e">
        <f>_xlfn.XLOOKUP(E95,#REF!,#REF!)</f>
        <v>#REF!</v>
      </c>
      <c r="C95" s="6" t="e">
        <f t="shared" si="1"/>
        <v>#REF!</v>
      </c>
      <c r="D95" s="7" t="s">
        <v>112</v>
      </c>
      <c r="E95" s="8" t="s">
        <v>526</v>
      </c>
      <c r="F95" s="7" t="s">
        <v>96</v>
      </c>
      <c r="G95" s="7" t="s">
        <v>95</v>
      </c>
      <c r="H95" s="7" t="s">
        <v>95</v>
      </c>
      <c r="I95" s="7" t="s">
        <v>95</v>
      </c>
      <c r="J95" s="7" t="s">
        <v>95</v>
      </c>
      <c r="K95" s="7" t="s">
        <v>95</v>
      </c>
      <c r="L95" s="7" t="s">
        <v>96</v>
      </c>
      <c r="M95" s="7" t="s">
        <v>345</v>
      </c>
      <c r="N95" s="7" t="s">
        <v>148</v>
      </c>
      <c r="O95" s="7" t="s">
        <v>197</v>
      </c>
      <c r="P95" s="7" t="s">
        <v>1338</v>
      </c>
      <c r="Q95" s="7" t="s">
        <v>1094</v>
      </c>
      <c r="R95" s="1" t="s">
        <v>1206</v>
      </c>
      <c r="S95" s="11">
        <v>45694</v>
      </c>
      <c r="T95" s="7" t="s">
        <v>1207</v>
      </c>
    </row>
    <row r="96" spans="1:20" ht="12" customHeight="1">
      <c r="A96" s="6" t="s">
        <v>528</v>
      </c>
      <c r="B96" s="6" t="e">
        <f>_xlfn.XLOOKUP(E96,#REF!,#REF!)</f>
        <v>#REF!</v>
      </c>
      <c r="C96" s="6" t="e">
        <f t="shared" si="1"/>
        <v>#REF!</v>
      </c>
      <c r="D96" s="7" t="s">
        <v>112</v>
      </c>
      <c r="E96" s="7" t="s">
        <v>529</v>
      </c>
      <c r="F96" s="7" t="s">
        <v>95</v>
      </c>
      <c r="G96" s="7" t="s">
        <v>95</v>
      </c>
      <c r="H96" s="7" t="s">
        <v>95</v>
      </c>
      <c r="I96" s="7" t="s">
        <v>95</v>
      </c>
      <c r="J96" s="7" t="s">
        <v>95</v>
      </c>
      <c r="K96" s="7" t="s">
        <v>95</v>
      </c>
      <c r="L96" s="7" t="s">
        <v>95</v>
      </c>
      <c r="M96" s="7"/>
      <c r="N96" s="7"/>
      <c r="O96" s="7"/>
      <c r="P96" s="7"/>
      <c r="Q96" s="7"/>
      <c r="R96" s="7"/>
      <c r="S96" s="7"/>
      <c r="T96" s="7"/>
    </row>
    <row r="97" spans="1:21" ht="17" customHeight="1">
      <c r="A97" s="8" t="s">
        <v>532</v>
      </c>
      <c r="B97" s="6" t="e">
        <f>_xlfn.XLOOKUP(E97,#REF!,#REF!)</f>
        <v>#REF!</v>
      </c>
      <c r="C97" s="6" t="e">
        <f t="shared" si="1"/>
        <v>#REF!</v>
      </c>
      <c r="D97" s="7" t="s">
        <v>100</v>
      </c>
      <c r="E97" s="8" t="s">
        <v>533</v>
      </c>
      <c r="F97" s="7" t="s">
        <v>96</v>
      </c>
      <c r="G97" s="7" t="s">
        <v>96</v>
      </c>
      <c r="H97" s="7" t="s">
        <v>96</v>
      </c>
      <c r="I97" s="7" t="s">
        <v>96</v>
      </c>
      <c r="J97" s="7" t="s">
        <v>95</v>
      </c>
      <c r="K97" s="7" t="s">
        <v>96</v>
      </c>
      <c r="L97" s="7" t="s">
        <v>96</v>
      </c>
      <c r="M97" s="7" t="s">
        <v>108</v>
      </c>
      <c r="N97" s="7" t="s">
        <v>109</v>
      </c>
      <c r="O97" s="7" t="s">
        <v>110</v>
      </c>
      <c r="P97" s="7" t="s">
        <v>1339</v>
      </c>
      <c r="Q97" s="7" t="s">
        <v>1094</v>
      </c>
      <c r="R97" s="10" t="s">
        <v>1136</v>
      </c>
      <c r="S97" s="11">
        <v>45693</v>
      </c>
      <c r="T97" s="7" t="s">
        <v>1074</v>
      </c>
    </row>
    <row r="98" spans="1:21" ht="12" customHeight="1">
      <c r="A98" s="6" t="s">
        <v>537</v>
      </c>
      <c r="B98" s="6" t="e">
        <f>_xlfn.XLOOKUP(E98,#REF!,#REF!)</f>
        <v>#REF!</v>
      </c>
      <c r="C98" s="6" t="e">
        <f t="shared" si="1"/>
        <v>#REF!</v>
      </c>
      <c r="D98" s="7" t="s">
        <v>100</v>
      </c>
      <c r="E98" s="7" t="s">
        <v>538</v>
      </c>
      <c r="F98" s="7" t="s">
        <v>95</v>
      </c>
      <c r="G98" s="7" t="s">
        <v>95</v>
      </c>
      <c r="H98" s="7" t="s">
        <v>95</v>
      </c>
      <c r="I98" s="7" t="s">
        <v>95</v>
      </c>
      <c r="J98" s="7" t="s">
        <v>95</v>
      </c>
      <c r="K98" s="7" t="s">
        <v>95</v>
      </c>
      <c r="L98" s="7" t="s">
        <v>95</v>
      </c>
      <c r="M98" s="7"/>
      <c r="N98" s="7"/>
      <c r="O98" s="7"/>
      <c r="P98" s="7"/>
      <c r="Q98" s="7"/>
      <c r="R98" s="7"/>
      <c r="S98" s="7"/>
      <c r="T98" s="7"/>
    </row>
    <row r="99" spans="1:21" ht="15" customHeight="1">
      <c r="A99" s="8" t="s">
        <v>542</v>
      </c>
      <c r="B99" s="6" t="e">
        <f>_xlfn.XLOOKUP(E99,#REF!,#REF!)</f>
        <v>#REF!</v>
      </c>
      <c r="C99" s="6" t="e">
        <f t="shared" si="1"/>
        <v>#REF!</v>
      </c>
      <c r="D99" s="7" t="s">
        <v>112</v>
      </c>
      <c r="E99" s="8" t="s">
        <v>543</v>
      </c>
      <c r="F99" s="7" t="s">
        <v>96</v>
      </c>
      <c r="G99" s="7" t="s">
        <v>96</v>
      </c>
      <c r="H99" s="7" t="s">
        <v>96</v>
      </c>
      <c r="I99" s="7" t="s">
        <v>96</v>
      </c>
      <c r="J99" s="7" t="s">
        <v>95</v>
      </c>
      <c r="K99" s="7" t="s">
        <v>95</v>
      </c>
      <c r="L99" s="7" t="s">
        <v>96</v>
      </c>
      <c r="M99" s="7" t="s">
        <v>108</v>
      </c>
      <c r="N99" s="7" t="s">
        <v>109</v>
      </c>
      <c r="O99" s="7" t="s">
        <v>110</v>
      </c>
      <c r="P99" s="7" t="s">
        <v>1340</v>
      </c>
      <c r="Q99" s="7" t="s">
        <v>1094</v>
      </c>
      <c r="R99" s="12" t="s">
        <v>1208</v>
      </c>
      <c r="S99" s="11">
        <v>45694</v>
      </c>
      <c r="T99" s="7" t="s">
        <v>1162</v>
      </c>
    </row>
    <row r="100" spans="1:21" ht="18" customHeight="1">
      <c r="A100" s="8" t="s">
        <v>544</v>
      </c>
      <c r="B100" s="6" t="e">
        <f>_xlfn.XLOOKUP(E100,#REF!,#REF!)</f>
        <v>#REF!</v>
      </c>
      <c r="C100" s="6" t="e">
        <f t="shared" si="1"/>
        <v>#REF!</v>
      </c>
      <c r="D100" s="7" t="s">
        <v>100</v>
      </c>
      <c r="E100" s="8" t="s">
        <v>545</v>
      </c>
      <c r="F100" s="7" t="s">
        <v>96</v>
      </c>
      <c r="G100" s="7" t="s">
        <v>96</v>
      </c>
      <c r="H100" s="7" t="s">
        <v>96</v>
      </c>
      <c r="I100" s="7" t="s">
        <v>96</v>
      </c>
      <c r="J100" s="7" t="s">
        <v>95</v>
      </c>
      <c r="K100" s="7" t="s">
        <v>96</v>
      </c>
      <c r="L100" s="7" t="s">
        <v>96</v>
      </c>
      <c r="M100" s="7" t="s">
        <v>108</v>
      </c>
      <c r="N100" s="7" t="s">
        <v>109</v>
      </c>
      <c r="O100" s="7" t="s">
        <v>110</v>
      </c>
      <c r="P100" s="7" t="s">
        <v>1341</v>
      </c>
      <c r="Q100" s="7" t="s">
        <v>1094</v>
      </c>
      <c r="R100" s="10" t="s">
        <v>1139</v>
      </c>
      <c r="S100" s="11">
        <v>45760</v>
      </c>
      <c r="T100" s="7" t="s">
        <v>1074</v>
      </c>
    </row>
    <row r="101" spans="1:21" ht="12" customHeight="1">
      <c r="A101" s="8" t="s">
        <v>550</v>
      </c>
      <c r="B101" s="6" t="e">
        <f>_xlfn.XLOOKUP(E101,#REF!,#REF!)</f>
        <v>#REF!</v>
      </c>
      <c r="C101" s="6" t="e">
        <f t="shared" si="1"/>
        <v>#REF!</v>
      </c>
      <c r="D101" s="7" t="s">
        <v>137</v>
      </c>
      <c r="E101" s="8" t="s">
        <v>551</v>
      </c>
      <c r="F101" s="7" t="s">
        <v>96</v>
      </c>
      <c r="G101" s="7" t="s">
        <v>95</v>
      </c>
      <c r="H101" s="7" t="s">
        <v>96</v>
      </c>
      <c r="I101" s="7" t="s">
        <v>95</v>
      </c>
      <c r="J101" s="7" t="s">
        <v>95</v>
      </c>
      <c r="K101" s="7" t="s">
        <v>95</v>
      </c>
      <c r="L101" s="7" t="s">
        <v>95</v>
      </c>
      <c r="M101" s="7" t="s">
        <v>198</v>
      </c>
      <c r="N101" s="7" t="s">
        <v>198</v>
      </c>
      <c r="O101" s="7" t="s">
        <v>149</v>
      </c>
      <c r="P101" s="7" t="s">
        <v>1342</v>
      </c>
      <c r="Q101" s="7"/>
      <c r="R101" s="7" t="s">
        <v>1190</v>
      </c>
      <c r="S101" s="11">
        <v>45755</v>
      </c>
      <c r="T101" s="7"/>
    </row>
    <row r="102" spans="1:21" ht="12" customHeight="1">
      <c r="A102" s="8" t="s">
        <v>554</v>
      </c>
      <c r="B102" s="6" t="e">
        <f>_xlfn.XLOOKUP(E102,#REF!,#REF!)</f>
        <v>#REF!</v>
      </c>
      <c r="C102" s="6" t="e">
        <f t="shared" si="1"/>
        <v>#REF!</v>
      </c>
      <c r="D102" s="7" t="s">
        <v>120</v>
      </c>
      <c r="E102" s="8" t="s">
        <v>555</v>
      </c>
      <c r="F102" s="7" t="s">
        <v>96</v>
      </c>
      <c r="G102" s="7" t="s">
        <v>96</v>
      </c>
      <c r="H102" s="7" t="s">
        <v>96</v>
      </c>
      <c r="I102" s="7" t="s">
        <v>95</v>
      </c>
      <c r="J102" s="7" t="s">
        <v>95</v>
      </c>
      <c r="K102" s="7" t="s">
        <v>95</v>
      </c>
      <c r="L102" s="7" t="s">
        <v>95</v>
      </c>
      <c r="M102" s="7" t="s">
        <v>345</v>
      </c>
      <c r="N102" s="7" t="s">
        <v>109</v>
      </c>
      <c r="O102" s="7" t="s">
        <v>110</v>
      </c>
      <c r="P102" s="7" t="s">
        <v>1343</v>
      </c>
      <c r="Q102" s="7" t="s">
        <v>1073</v>
      </c>
      <c r="R102" s="10" t="s">
        <v>1082</v>
      </c>
      <c r="S102" s="11">
        <v>45693</v>
      </c>
      <c r="T102" s="7" t="s">
        <v>1081</v>
      </c>
      <c r="U102" s="13"/>
    </row>
    <row r="103" spans="1:21" ht="15" customHeight="1">
      <c r="A103" s="8" t="s">
        <v>560</v>
      </c>
      <c r="B103" s="6" t="e">
        <f>_xlfn.XLOOKUP(E103,#REF!,#REF!)</f>
        <v>#REF!</v>
      </c>
      <c r="C103" s="6" t="e">
        <f t="shared" si="1"/>
        <v>#REF!</v>
      </c>
      <c r="D103" s="7" t="s">
        <v>112</v>
      </c>
      <c r="E103" s="8" t="s">
        <v>561</v>
      </c>
      <c r="F103" s="7" t="s">
        <v>96</v>
      </c>
      <c r="G103" s="7" t="s">
        <v>96</v>
      </c>
      <c r="H103" s="7" t="s">
        <v>96</v>
      </c>
      <c r="I103" s="7" t="s">
        <v>95</v>
      </c>
      <c r="J103" s="7" t="s">
        <v>95</v>
      </c>
      <c r="K103" s="7" t="s">
        <v>95</v>
      </c>
      <c r="L103" s="7" t="s">
        <v>95</v>
      </c>
      <c r="M103" s="7" t="s">
        <v>345</v>
      </c>
      <c r="N103" s="7" t="s">
        <v>109</v>
      </c>
      <c r="O103" s="7" t="s">
        <v>110</v>
      </c>
      <c r="P103" s="20" t="s">
        <v>1344</v>
      </c>
      <c r="Q103" s="7" t="s">
        <v>1094</v>
      </c>
      <c r="R103" s="17" t="s">
        <v>1210</v>
      </c>
      <c r="S103" s="11">
        <v>45694</v>
      </c>
      <c r="T103" s="7" t="s">
        <v>1209</v>
      </c>
    </row>
    <row r="104" spans="1:21" ht="14" customHeight="1">
      <c r="A104" s="8" t="s">
        <v>564</v>
      </c>
      <c r="B104" s="6" t="e">
        <f>_xlfn.XLOOKUP(E104,#REF!,#REF!)</f>
        <v>#REF!</v>
      </c>
      <c r="C104" s="6" t="e">
        <f t="shared" si="1"/>
        <v>#REF!</v>
      </c>
      <c r="D104" s="7" t="s">
        <v>100</v>
      </c>
      <c r="E104" s="8" t="s">
        <v>565</v>
      </c>
      <c r="F104" s="7" t="s">
        <v>96</v>
      </c>
      <c r="G104" s="7" t="s">
        <v>96</v>
      </c>
      <c r="H104" s="7" t="s">
        <v>96</v>
      </c>
      <c r="I104" s="7" t="s">
        <v>96</v>
      </c>
      <c r="J104" s="7" t="s">
        <v>95</v>
      </c>
      <c r="K104" s="7" t="s">
        <v>95</v>
      </c>
      <c r="L104" s="7" t="s">
        <v>96</v>
      </c>
      <c r="M104" s="7" t="s">
        <v>345</v>
      </c>
      <c r="N104" s="7" t="s">
        <v>109</v>
      </c>
      <c r="O104" s="7" t="s">
        <v>110</v>
      </c>
      <c r="P104" s="7" t="s">
        <v>1345</v>
      </c>
      <c r="Q104" s="7" t="s">
        <v>1094</v>
      </c>
      <c r="R104" s="17" t="s">
        <v>1346</v>
      </c>
      <c r="S104" s="11">
        <v>45693</v>
      </c>
      <c r="T104" s="7"/>
    </row>
    <row r="105" spans="1:21" ht="13.25" customHeight="1">
      <c r="A105" s="8" t="s">
        <v>568</v>
      </c>
      <c r="B105" s="6" t="e">
        <f>_xlfn.XLOOKUP(E105,#REF!,#REF!)</f>
        <v>#REF!</v>
      </c>
      <c r="C105" s="6" t="e">
        <f t="shared" si="1"/>
        <v>#REF!</v>
      </c>
      <c r="D105" s="7" t="s">
        <v>132</v>
      </c>
      <c r="E105" s="8" t="s">
        <v>569</v>
      </c>
      <c r="F105" s="7" t="s">
        <v>96</v>
      </c>
      <c r="G105" s="7" t="s">
        <v>96</v>
      </c>
      <c r="H105" s="7" t="s">
        <v>96</v>
      </c>
      <c r="I105" s="7" t="s">
        <v>96</v>
      </c>
      <c r="J105" s="7" t="s">
        <v>96</v>
      </c>
      <c r="K105" s="7" t="s">
        <v>95</v>
      </c>
      <c r="L105" s="7" t="s">
        <v>96</v>
      </c>
      <c r="M105" s="7" t="s">
        <v>108</v>
      </c>
      <c r="N105" s="7" t="s">
        <v>109</v>
      </c>
      <c r="O105" s="7" t="s">
        <v>110</v>
      </c>
      <c r="P105" s="7" t="s">
        <v>1347</v>
      </c>
      <c r="Q105" s="7" t="s">
        <v>1094</v>
      </c>
      <c r="R105" s="17" t="s">
        <v>1239</v>
      </c>
      <c r="S105" s="11">
        <v>45750</v>
      </c>
      <c r="T105" s="7" t="s">
        <v>1348</v>
      </c>
    </row>
    <row r="106" spans="1:21" ht="12" customHeight="1">
      <c r="A106" s="6" t="s">
        <v>573</v>
      </c>
      <c r="B106" s="6" t="e">
        <f>_xlfn.XLOOKUP(E106,#REF!,#REF!)</f>
        <v>#REF!</v>
      </c>
      <c r="C106" s="6" t="e">
        <f t="shared" si="1"/>
        <v>#REF!</v>
      </c>
      <c r="D106" s="7" t="s">
        <v>120</v>
      </c>
      <c r="E106" s="7" t="s">
        <v>574</v>
      </c>
      <c r="F106" s="7" t="s">
        <v>95</v>
      </c>
      <c r="G106" s="7" t="s">
        <v>95</v>
      </c>
      <c r="H106" s="7" t="s">
        <v>95</v>
      </c>
      <c r="I106" s="7" t="s">
        <v>95</v>
      </c>
      <c r="J106" s="7" t="s">
        <v>95</v>
      </c>
      <c r="K106" s="7" t="s">
        <v>95</v>
      </c>
      <c r="L106" s="7" t="s">
        <v>95</v>
      </c>
      <c r="M106" s="7"/>
      <c r="N106" s="7"/>
      <c r="O106" s="7"/>
      <c r="P106" s="7"/>
      <c r="Q106" s="7"/>
      <c r="R106" s="7" t="s">
        <v>1298</v>
      </c>
      <c r="S106" s="7"/>
      <c r="T106" s="7"/>
    </row>
    <row r="107" spans="1:21" ht="15" customHeight="1">
      <c r="A107" s="8" t="s">
        <v>577</v>
      </c>
      <c r="B107" s="6" t="e">
        <f>_xlfn.XLOOKUP(E107,#REF!,#REF!)</f>
        <v>#REF!</v>
      </c>
      <c r="C107" s="6" t="e">
        <f t="shared" si="1"/>
        <v>#REF!</v>
      </c>
      <c r="D107" s="7" t="s">
        <v>120</v>
      </c>
      <c r="E107" s="8" t="s">
        <v>578</v>
      </c>
      <c r="F107" s="7" t="s">
        <v>96</v>
      </c>
      <c r="G107" s="7" t="s">
        <v>96</v>
      </c>
      <c r="H107" s="7" t="s">
        <v>96</v>
      </c>
      <c r="I107" s="7" t="s">
        <v>96</v>
      </c>
      <c r="J107" s="7" t="s">
        <v>96</v>
      </c>
      <c r="K107" s="7" t="s">
        <v>95</v>
      </c>
      <c r="L107" s="7" t="s">
        <v>96</v>
      </c>
      <c r="M107" s="7" t="s">
        <v>118</v>
      </c>
      <c r="N107" s="7" t="s">
        <v>109</v>
      </c>
      <c r="O107" s="7" t="s">
        <v>110</v>
      </c>
      <c r="P107" s="7" t="s">
        <v>1349</v>
      </c>
      <c r="Q107" s="7" t="s">
        <v>1094</v>
      </c>
      <c r="R107" s="17" t="s">
        <v>1084</v>
      </c>
      <c r="S107" s="11">
        <v>45750</v>
      </c>
      <c r="T107" s="7" t="s">
        <v>1085</v>
      </c>
    </row>
    <row r="108" spans="1:21" ht="14" customHeight="1">
      <c r="A108" s="8" t="s">
        <v>584</v>
      </c>
      <c r="B108" s="6" t="e">
        <f>_xlfn.XLOOKUP(E108,#REF!,#REF!)</f>
        <v>#REF!</v>
      </c>
      <c r="C108" s="6" t="e">
        <f t="shared" si="1"/>
        <v>#REF!</v>
      </c>
      <c r="D108" s="7" t="s">
        <v>100</v>
      </c>
      <c r="E108" s="8" t="s">
        <v>585</v>
      </c>
      <c r="F108" s="7" t="s">
        <v>96</v>
      </c>
      <c r="G108" s="7" t="s">
        <v>96</v>
      </c>
      <c r="H108" s="7" t="s">
        <v>95</v>
      </c>
      <c r="I108" s="7" t="s">
        <v>95</v>
      </c>
      <c r="J108" s="7" t="s">
        <v>95</v>
      </c>
      <c r="K108" s="7" t="s">
        <v>95</v>
      </c>
      <c r="L108" s="7" t="s">
        <v>95</v>
      </c>
      <c r="M108" s="7" t="s">
        <v>198</v>
      </c>
      <c r="N108" s="7" t="s">
        <v>109</v>
      </c>
      <c r="O108" s="7" t="s">
        <v>110</v>
      </c>
      <c r="P108" s="7" t="s">
        <v>1350</v>
      </c>
      <c r="Q108" s="7" t="s">
        <v>1094</v>
      </c>
      <c r="R108" s="12" t="s">
        <v>1164</v>
      </c>
      <c r="S108" s="11">
        <v>45760</v>
      </c>
      <c r="T108" s="7" t="s">
        <v>1168</v>
      </c>
    </row>
    <row r="109" spans="1:21" ht="12" customHeight="1">
      <c r="A109" s="8" t="s">
        <v>588</v>
      </c>
      <c r="B109" s="6" t="e">
        <f>_xlfn.XLOOKUP(E109,#REF!,#REF!)</f>
        <v>#REF!</v>
      </c>
      <c r="C109" s="6" t="e">
        <f t="shared" si="1"/>
        <v>#REF!</v>
      </c>
      <c r="D109" s="7" t="s">
        <v>112</v>
      </c>
      <c r="E109" s="8" t="s">
        <v>589</v>
      </c>
      <c r="F109" s="7" t="s">
        <v>96</v>
      </c>
      <c r="G109" s="7" t="s">
        <v>95</v>
      </c>
      <c r="H109" s="7" t="s">
        <v>95</v>
      </c>
      <c r="I109" s="7" t="s">
        <v>95</v>
      </c>
      <c r="J109" s="7" t="s">
        <v>95</v>
      </c>
      <c r="K109" s="7" t="s">
        <v>95</v>
      </c>
      <c r="L109" s="7" t="s">
        <v>96</v>
      </c>
      <c r="M109" s="7" t="s">
        <v>198</v>
      </c>
      <c r="N109" s="7" t="s">
        <v>198</v>
      </c>
      <c r="O109" s="7" t="s">
        <v>149</v>
      </c>
      <c r="P109" t="s">
        <v>1351</v>
      </c>
      <c r="Q109" s="7"/>
      <c r="R109" s="7" t="s">
        <v>1211</v>
      </c>
      <c r="S109" s="11">
        <v>45755</v>
      </c>
      <c r="T109" s="7"/>
    </row>
    <row r="110" spans="1:21" ht="12" customHeight="1">
      <c r="A110" s="8" t="s">
        <v>591</v>
      </c>
      <c r="B110" s="6" t="e">
        <f>_xlfn.XLOOKUP(E110,#REF!,#REF!)</f>
        <v>#REF!</v>
      </c>
      <c r="C110" s="6" t="e">
        <f t="shared" si="1"/>
        <v>#REF!</v>
      </c>
      <c r="D110" s="7" t="s">
        <v>100</v>
      </c>
      <c r="E110" s="8" t="s">
        <v>592</v>
      </c>
      <c r="F110" s="7" t="s">
        <v>96</v>
      </c>
      <c r="G110" s="7" t="s">
        <v>95</v>
      </c>
      <c r="H110" s="7" t="s">
        <v>96</v>
      </c>
      <c r="I110" s="7" t="s">
        <v>96</v>
      </c>
      <c r="J110" s="7" t="s">
        <v>95</v>
      </c>
      <c r="K110" s="7" t="s">
        <v>95</v>
      </c>
      <c r="L110" s="7" t="s">
        <v>96</v>
      </c>
      <c r="M110" s="7" t="s">
        <v>108</v>
      </c>
      <c r="N110" s="7" t="s">
        <v>109</v>
      </c>
      <c r="O110" s="7" t="s">
        <v>197</v>
      </c>
      <c r="P110" s="7" t="s">
        <v>1352</v>
      </c>
      <c r="Q110" s="7"/>
      <c r="R110" s="7" t="s">
        <v>1140</v>
      </c>
      <c r="S110" s="11">
        <v>45755</v>
      </c>
      <c r="T110" s="7" t="s">
        <v>1141</v>
      </c>
    </row>
    <row r="111" spans="1:21" ht="12" customHeight="1">
      <c r="A111" s="8" t="s">
        <v>594</v>
      </c>
      <c r="B111" s="6" t="e">
        <f>_xlfn.XLOOKUP(E111,#REF!,#REF!)</f>
        <v>#REF!</v>
      </c>
      <c r="C111" s="6" t="e">
        <f t="shared" si="1"/>
        <v>#REF!</v>
      </c>
      <c r="D111" s="7" t="s">
        <v>120</v>
      </c>
      <c r="E111" s="8" t="s">
        <v>595</v>
      </c>
      <c r="F111" s="7" t="s">
        <v>96</v>
      </c>
      <c r="G111" s="7" t="s">
        <v>96</v>
      </c>
      <c r="H111" s="7" t="s">
        <v>95</v>
      </c>
      <c r="I111" s="7" t="s">
        <v>95</v>
      </c>
      <c r="J111" s="7" t="s">
        <v>96</v>
      </c>
      <c r="K111" s="7" t="s">
        <v>95</v>
      </c>
      <c r="L111" s="7" t="s">
        <v>95</v>
      </c>
      <c r="M111" s="7" t="s">
        <v>108</v>
      </c>
      <c r="N111" s="7" t="s">
        <v>148</v>
      </c>
      <c r="O111" s="7" t="s">
        <v>149</v>
      </c>
      <c r="P111" s="7" t="s">
        <v>1353</v>
      </c>
      <c r="Q111" s="7"/>
      <c r="R111" t="s">
        <v>1086</v>
      </c>
      <c r="S111" s="11">
        <v>45755</v>
      </c>
      <c r="T111" s="7"/>
    </row>
    <row r="112" spans="1:21" ht="14" customHeight="1">
      <c r="A112" s="8" t="s">
        <v>599</v>
      </c>
      <c r="B112" s="6" t="e">
        <f>_xlfn.XLOOKUP(E112,#REF!,#REF!)</f>
        <v>#REF!</v>
      </c>
      <c r="C112" s="6" t="e">
        <f t="shared" si="1"/>
        <v>#REF!</v>
      </c>
      <c r="D112" s="7" t="s">
        <v>100</v>
      </c>
      <c r="E112" s="8" t="s">
        <v>600</v>
      </c>
      <c r="F112" s="7" t="s">
        <v>96</v>
      </c>
      <c r="G112" s="7" t="s">
        <v>96</v>
      </c>
      <c r="H112" s="7" t="s">
        <v>96</v>
      </c>
      <c r="I112" s="7" t="s">
        <v>96</v>
      </c>
      <c r="J112" s="7" t="s">
        <v>95</v>
      </c>
      <c r="K112" s="7" t="s">
        <v>96</v>
      </c>
      <c r="L112" s="7" t="s">
        <v>96</v>
      </c>
      <c r="M112" s="7" t="s">
        <v>108</v>
      </c>
      <c r="N112" s="7" t="s">
        <v>109</v>
      </c>
      <c r="O112" s="7" t="s">
        <v>110</v>
      </c>
      <c r="P112" s="9" t="s">
        <v>1354</v>
      </c>
      <c r="Q112" s="7" t="s">
        <v>1094</v>
      </c>
      <c r="R112" s="21" t="s">
        <v>1144</v>
      </c>
      <c r="S112" s="11">
        <v>45693</v>
      </c>
      <c r="T112" s="7" t="s">
        <v>1145</v>
      </c>
    </row>
    <row r="113" spans="1:20" ht="12" customHeight="1">
      <c r="A113" s="8" t="s">
        <v>603</v>
      </c>
      <c r="B113" s="6" t="e">
        <f>_xlfn.XLOOKUP(E113,#REF!,#REF!)</f>
        <v>#REF!</v>
      </c>
      <c r="C113" s="6" t="e">
        <f t="shared" si="1"/>
        <v>#REF!</v>
      </c>
      <c r="D113" s="7" t="s">
        <v>112</v>
      </c>
      <c r="E113" s="8" t="s">
        <v>604</v>
      </c>
      <c r="F113" s="7" t="s">
        <v>96</v>
      </c>
      <c r="G113" s="7" t="s">
        <v>95</v>
      </c>
      <c r="H113" s="7" t="s">
        <v>96</v>
      </c>
      <c r="I113" s="7" t="s">
        <v>95</v>
      </c>
      <c r="J113" s="7" t="s">
        <v>95</v>
      </c>
      <c r="K113" s="7" t="s">
        <v>95</v>
      </c>
      <c r="L113" s="7" t="s">
        <v>95</v>
      </c>
      <c r="M113" s="7" t="s">
        <v>108</v>
      </c>
      <c r="N113" s="7" t="s">
        <v>148</v>
      </c>
      <c r="O113" s="7" t="s">
        <v>149</v>
      </c>
      <c r="P113" s="7" t="s">
        <v>1355</v>
      </c>
      <c r="Q113" s="7"/>
      <c r="R113" s="7" t="s">
        <v>1212</v>
      </c>
      <c r="S113" s="7"/>
      <c r="T113" s="7"/>
    </row>
    <row r="114" spans="1:20" ht="12" customHeight="1">
      <c r="A114" s="8" t="s">
        <v>605</v>
      </c>
      <c r="B114" s="6" t="e">
        <f>_xlfn.XLOOKUP(E114,#REF!,#REF!)</f>
        <v>#REF!</v>
      </c>
      <c r="C114" s="6" t="e">
        <f t="shared" si="1"/>
        <v>#REF!</v>
      </c>
      <c r="D114" s="7" t="s">
        <v>132</v>
      </c>
      <c r="E114" s="8" t="s">
        <v>606</v>
      </c>
      <c r="F114" s="7" t="s">
        <v>96</v>
      </c>
      <c r="G114" s="7" t="s">
        <v>95</v>
      </c>
      <c r="H114" s="7" t="s">
        <v>96</v>
      </c>
      <c r="I114" s="7" t="s">
        <v>95</v>
      </c>
      <c r="J114" s="7" t="s">
        <v>95</v>
      </c>
      <c r="K114" s="7" t="s">
        <v>95</v>
      </c>
      <c r="L114" s="7" t="s">
        <v>95</v>
      </c>
      <c r="M114" s="7" t="s">
        <v>198</v>
      </c>
      <c r="N114" s="7" t="s">
        <v>198</v>
      </c>
      <c r="O114" s="7" t="s">
        <v>203</v>
      </c>
      <c r="P114" s="7" t="s">
        <v>1356</v>
      </c>
      <c r="Q114" s="7"/>
      <c r="R114" s="7" t="s">
        <v>1357</v>
      </c>
      <c r="S114" s="11">
        <v>45755</v>
      </c>
      <c r="T114" s="7"/>
    </row>
    <row r="115" spans="1:20" ht="12" customHeight="1">
      <c r="A115" s="8" t="s">
        <v>610</v>
      </c>
      <c r="B115" s="6" t="e">
        <f>_xlfn.XLOOKUP(E115,#REF!,#REF!)</f>
        <v>#REF!</v>
      </c>
      <c r="C115" s="6" t="e">
        <f t="shared" si="1"/>
        <v>#REF!</v>
      </c>
      <c r="D115" s="7" t="s">
        <v>132</v>
      </c>
      <c r="E115" s="8" t="s">
        <v>611</v>
      </c>
      <c r="F115" s="7" t="s">
        <v>96</v>
      </c>
      <c r="G115" s="7" t="s">
        <v>95</v>
      </c>
      <c r="H115" s="7" t="s">
        <v>95</v>
      </c>
      <c r="I115" s="7" t="s">
        <v>95</v>
      </c>
      <c r="J115" s="7" t="s">
        <v>95</v>
      </c>
      <c r="K115" s="7" t="s">
        <v>95</v>
      </c>
      <c r="L115" s="7" t="s">
        <v>96</v>
      </c>
      <c r="M115" s="7" t="s">
        <v>198</v>
      </c>
      <c r="N115" s="7" t="s">
        <v>198</v>
      </c>
      <c r="O115" s="7" t="s">
        <v>149</v>
      </c>
      <c r="P115" s="7" t="s">
        <v>1358</v>
      </c>
      <c r="Q115" s="7"/>
      <c r="R115" s="7" t="s">
        <v>1256</v>
      </c>
      <c r="S115" s="11">
        <v>45755</v>
      </c>
      <c r="T115" s="7" t="s">
        <v>1198</v>
      </c>
    </row>
    <row r="116" spans="1:20" ht="12" customHeight="1">
      <c r="A116" s="6" t="s">
        <v>614</v>
      </c>
      <c r="B116" s="6" t="e">
        <f>_xlfn.XLOOKUP(E116,#REF!,#REF!)</f>
        <v>#REF!</v>
      </c>
      <c r="C116" s="6" t="e">
        <f t="shared" si="1"/>
        <v>#REF!</v>
      </c>
      <c r="D116" s="7" t="s">
        <v>112</v>
      </c>
      <c r="E116" s="7" t="s">
        <v>615</v>
      </c>
      <c r="F116" s="7" t="s">
        <v>95</v>
      </c>
      <c r="G116" s="7" t="s">
        <v>95</v>
      </c>
      <c r="H116" s="7" t="s">
        <v>95</v>
      </c>
      <c r="I116" s="7" t="s">
        <v>95</v>
      </c>
      <c r="J116" s="7" t="s">
        <v>95</v>
      </c>
      <c r="K116" s="7" t="s">
        <v>95</v>
      </c>
      <c r="L116" s="7" t="s">
        <v>95</v>
      </c>
      <c r="M116" s="7"/>
      <c r="N116" s="7"/>
      <c r="O116" s="7"/>
      <c r="P116" s="7"/>
      <c r="Q116" s="7"/>
      <c r="R116" s="7"/>
      <c r="S116" s="7"/>
      <c r="T116" s="7"/>
    </row>
    <row r="117" spans="1:20" ht="12" customHeight="1">
      <c r="A117" s="6" t="s">
        <v>617</v>
      </c>
      <c r="B117" s="6" t="e">
        <f>_xlfn.XLOOKUP(E117,#REF!,#REF!)</f>
        <v>#REF!</v>
      </c>
      <c r="C117" s="6" t="e">
        <f t="shared" si="1"/>
        <v>#REF!</v>
      </c>
      <c r="D117" s="7" t="s">
        <v>100</v>
      </c>
      <c r="E117" s="7" t="s">
        <v>618</v>
      </c>
      <c r="F117" s="7" t="s">
        <v>95</v>
      </c>
      <c r="G117" s="7" t="s">
        <v>95</v>
      </c>
      <c r="H117" s="7" t="s">
        <v>95</v>
      </c>
      <c r="I117" s="7" t="s">
        <v>95</v>
      </c>
      <c r="J117" s="7" t="s">
        <v>95</v>
      </c>
      <c r="K117" s="7" t="s">
        <v>95</v>
      </c>
      <c r="L117" s="7" t="s">
        <v>95</v>
      </c>
      <c r="M117" s="7"/>
      <c r="N117" s="7"/>
      <c r="O117" s="7"/>
      <c r="P117" s="7"/>
      <c r="Q117" s="7"/>
      <c r="R117" s="7"/>
      <c r="S117" s="7"/>
      <c r="T117" s="7"/>
    </row>
    <row r="118" spans="1:20" ht="12" customHeight="1">
      <c r="A118" s="8" t="s">
        <v>622</v>
      </c>
      <c r="B118" s="6" t="e">
        <f>_xlfn.XLOOKUP(E118,#REF!,#REF!)</f>
        <v>#REF!</v>
      </c>
      <c r="C118" s="6" t="e">
        <f t="shared" si="1"/>
        <v>#REF!</v>
      </c>
      <c r="D118" s="7" t="s">
        <v>100</v>
      </c>
      <c r="E118" s="8" t="s">
        <v>623</v>
      </c>
      <c r="F118" s="7" t="s">
        <v>96</v>
      </c>
      <c r="G118" s="7" t="s">
        <v>96</v>
      </c>
      <c r="H118" s="7" t="s">
        <v>96</v>
      </c>
      <c r="I118" s="7" t="s">
        <v>96</v>
      </c>
      <c r="J118" s="7" t="s">
        <v>95</v>
      </c>
      <c r="K118" s="7" t="s">
        <v>96</v>
      </c>
      <c r="L118" s="7" t="s">
        <v>96</v>
      </c>
      <c r="M118" s="7" t="s">
        <v>108</v>
      </c>
      <c r="N118" s="7" t="s">
        <v>109</v>
      </c>
      <c r="O118" s="7" t="s">
        <v>110</v>
      </c>
      <c r="P118" s="7" t="s">
        <v>1359</v>
      </c>
      <c r="Q118" s="7" t="s">
        <v>1094</v>
      </c>
      <c r="R118" s="10" t="s">
        <v>1142</v>
      </c>
      <c r="S118" s="11">
        <v>45760</v>
      </c>
      <c r="T118" s="7" t="s">
        <v>1074</v>
      </c>
    </row>
    <row r="119" spans="1:20" ht="12" customHeight="1">
      <c r="A119" s="8" t="s">
        <v>626</v>
      </c>
      <c r="B119" s="6" t="e">
        <f>_xlfn.XLOOKUP(E119,#REF!,#REF!)</f>
        <v>#REF!</v>
      </c>
      <c r="C119" s="6" t="e">
        <f t="shared" si="1"/>
        <v>#REF!</v>
      </c>
      <c r="D119" s="7" t="s">
        <v>100</v>
      </c>
      <c r="E119" s="8" t="s">
        <v>627</v>
      </c>
      <c r="F119" s="7" t="s">
        <v>96</v>
      </c>
      <c r="G119" s="7" t="s">
        <v>96</v>
      </c>
      <c r="H119" s="7" t="s">
        <v>96</v>
      </c>
      <c r="I119" s="7" t="s">
        <v>96</v>
      </c>
      <c r="J119" s="7" t="s">
        <v>95</v>
      </c>
      <c r="K119" s="7" t="s">
        <v>96</v>
      </c>
      <c r="L119" s="7" t="s">
        <v>96</v>
      </c>
      <c r="M119" s="7" t="s">
        <v>108</v>
      </c>
      <c r="N119" s="7" t="s">
        <v>109</v>
      </c>
      <c r="O119" s="7" t="s">
        <v>110</v>
      </c>
      <c r="P119" s="7" t="s">
        <v>1360</v>
      </c>
      <c r="Q119" s="7" t="s">
        <v>1094</v>
      </c>
      <c r="R119" s="12" t="s">
        <v>1143</v>
      </c>
      <c r="S119" s="11">
        <v>45693</v>
      </c>
      <c r="T119" s="7" t="s">
        <v>1074</v>
      </c>
    </row>
    <row r="120" spans="1:20" ht="12" customHeight="1">
      <c r="A120" s="6" t="s">
        <v>629</v>
      </c>
      <c r="B120" s="6" t="e">
        <f>_xlfn.XLOOKUP(E120,#REF!,#REF!)</f>
        <v>#REF!</v>
      </c>
      <c r="C120" s="6" t="e">
        <f t="shared" si="1"/>
        <v>#REF!</v>
      </c>
      <c r="D120" s="7" t="s">
        <v>120</v>
      </c>
      <c r="E120" s="7" t="s">
        <v>630</v>
      </c>
      <c r="F120" s="7" t="s">
        <v>95</v>
      </c>
      <c r="G120" s="7" t="s">
        <v>95</v>
      </c>
      <c r="H120" s="7" t="s">
        <v>95</v>
      </c>
      <c r="I120" s="7" t="s">
        <v>95</v>
      </c>
      <c r="J120" s="7" t="s">
        <v>95</v>
      </c>
      <c r="K120" s="7" t="s">
        <v>95</v>
      </c>
      <c r="L120" s="7" t="s">
        <v>95</v>
      </c>
      <c r="M120" s="7"/>
      <c r="N120" s="7"/>
      <c r="O120" s="7"/>
      <c r="P120" s="7"/>
      <c r="Q120" s="7"/>
      <c r="R120" s="7"/>
      <c r="S120" s="7"/>
      <c r="T120" s="7"/>
    </row>
    <row r="121" spans="1:20" ht="12" customHeight="1">
      <c r="A121" s="6" t="s">
        <v>634</v>
      </c>
      <c r="B121" s="6" t="e">
        <f>_xlfn.XLOOKUP(E121,#REF!,#REF!)</f>
        <v>#REF!</v>
      </c>
      <c r="C121" s="6" t="e">
        <f t="shared" si="1"/>
        <v>#REF!</v>
      </c>
      <c r="D121" s="7" t="s">
        <v>132</v>
      </c>
      <c r="E121" s="7" t="s">
        <v>635</v>
      </c>
      <c r="F121" s="7" t="s">
        <v>95</v>
      </c>
      <c r="G121" s="7" t="s">
        <v>95</v>
      </c>
      <c r="H121" s="7" t="s">
        <v>95</v>
      </c>
      <c r="I121" s="7" t="s">
        <v>95</v>
      </c>
      <c r="J121" s="7" t="s">
        <v>95</v>
      </c>
      <c r="K121" s="7" t="s">
        <v>95</v>
      </c>
      <c r="L121" s="7" t="s">
        <v>95</v>
      </c>
      <c r="M121" s="7"/>
      <c r="N121" s="7"/>
      <c r="O121" s="7"/>
      <c r="P121" s="7"/>
      <c r="Q121" s="7"/>
      <c r="R121" s="7"/>
      <c r="S121" s="7"/>
      <c r="T121" s="7"/>
    </row>
    <row r="122" spans="1:20" ht="12" customHeight="1">
      <c r="A122" s="8" t="s">
        <v>637</v>
      </c>
      <c r="B122" s="6" t="e">
        <f>_xlfn.XLOOKUP(E122,#REF!,#REF!)</f>
        <v>#REF!</v>
      </c>
      <c r="C122" s="6" t="e">
        <f t="shared" si="1"/>
        <v>#REF!</v>
      </c>
      <c r="D122" s="7" t="s">
        <v>132</v>
      </c>
      <c r="E122" s="8" t="s">
        <v>638</v>
      </c>
      <c r="F122" s="7" t="s">
        <v>96</v>
      </c>
      <c r="G122" s="7" t="s">
        <v>95</v>
      </c>
      <c r="H122" s="7" t="s">
        <v>96</v>
      </c>
      <c r="I122" s="7" t="s">
        <v>95</v>
      </c>
      <c r="J122" s="7" t="s">
        <v>95</v>
      </c>
      <c r="K122" s="7" t="s">
        <v>95</v>
      </c>
      <c r="L122" s="7" t="s">
        <v>95</v>
      </c>
      <c r="M122" s="7" t="s">
        <v>198</v>
      </c>
      <c r="N122" s="7" t="s">
        <v>198</v>
      </c>
      <c r="O122" s="7" t="s">
        <v>149</v>
      </c>
      <c r="P122" s="7" t="s">
        <v>1361</v>
      </c>
      <c r="Q122" s="7"/>
      <c r="R122" s="7" t="s">
        <v>1240</v>
      </c>
      <c r="S122" s="11">
        <v>45755</v>
      </c>
      <c r="T122" s="7"/>
    </row>
    <row r="123" spans="1:20" ht="14" customHeight="1">
      <c r="A123" s="8" t="s">
        <v>641</v>
      </c>
      <c r="B123" s="6" t="e">
        <f>_xlfn.XLOOKUP(E123,#REF!,#REF!)</f>
        <v>#REF!</v>
      </c>
      <c r="C123" s="6" t="e">
        <f t="shared" si="1"/>
        <v>#REF!</v>
      </c>
      <c r="D123" s="7" t="s">
        <v>120</v>
      </c>
      <c r="E123" s="8" t="s">
        <v>642</v>
      </c>
      <c r="F123" s="7" t="s">
        <v>96</v>
      </c>
      <c r="G123" s="7" t="s">
        <v>96</v>
      </c>
      <c r="H123" s="7" t="s">
        <v>96</v>
      </c>
      <c r="I123" s="7" t="s">
        <v>95</v>
      </c>
      <c r="J123" s="7" t="s">
        <v>95</v>
      </c>
      <c r="K123" s="7" t="s">
        <v>95</v>
      </c>
      <c r="L123" s="7" t="s">
        <v>95</v>
      </c>
      <c r="M123" s="7" t="s">
        <v>198</v>
      </c>
      <c r="N123" s="7" t="s">
        <v>198</v>
      </c>
      <c r="O123" s="7" t="s">
        <v>149</v>
      </c>
      <c r="P123" s="7" t="s">
        <v>1362</v>
      </c>
      <c r="Q123" s="7" t="s">
        <v>1094</v>
      </c>
      <c r="R123" s="15" t="s">
        <v>1087</v>
      </c>
      <c r="S123" s="11">
        <v>45757</v>
      </c>
      <c r="T123" s="7"/>
    </row>
    <row r="124" spans="1:20" ht="12" customHeight="1">
      <c r="A124" s="8" t="s">
        <v>646</v>
      </c>
      <c r="B124" s="6" t="e">
        <f>_xlfn.XLOOKUP(E124,#REF!,#REF!)</f>
        <v>#REF!</v>
      </c>
      <c r="C124" s="6" t="e">
        <f t="shared" si="1"/>
        <v>#REF!</v>
      </c>
      <c r="D124" s="7" t="s">
        <v>91</v>
      </c>
      <c r="E124" s="8" t="s">
        <v>647</v>
      </c>
      <c r="F124" s="7" t="s">
        <v>96</v>
      </c>
      <c r="G124" s="7" t="s">
        <v>95</v>
      </c>
      <c r="H124" s="7" t="s">
        <v>95</v>
      </c>
      <c r="I124" s="7" t="s">
        <v>95</v>
      </c>
      <c r="J124" s="7" t="s">
        <v>95</v>
      </c>
      <c r="K124" s="7" t="s">
        <v>95</v>
      </c>
      <c r="L124" s="7" t="s">
        <v>96</v>
      </c>
      <c r="M124" s="7" t="s">
        <v>198</v>
      </c>
      <c r="N124" s="7" t="s">
        <v>198</v>
      </c>
      <c r="O124" s="7" t="s">
        <v>149</v>
      </c>
      <c r="P124" s="7" t="s">
        <v>1363</v>
      </c>
      <c r="Q124" s="7"/>
      <c r="R124" s="7" t="s">
        <v>1223</v>
      </c>
      <c r="S124" s="11">
        <v>45755</v>
      </c>
      <c r="T124" s="7" t="s">
        <v>1198</v>
      </c>
    </row>
    <row r="125" spans="1:20" ht="14" customHeight="1">
      <c r="A125" s="6" t="s">
        <v>651</v>
      </c>
      <c r="B125" s="6" t="e">
        <f>_xlfn.XLOOKUP(E125,#REF!,#REF!)</f>
        <v>#REF!</v>
      </c>
      <c r="C125" s="6" t="e">
        <f t="shared" si="1"/>
        <v>#REF!</v>
      </c>
      <c r="D125" s="7" t="s">
        <v>132</v>
      </c>
      <c r="E125" s="7" t="s">
        <v>652</v>
      </c>
      <c r="F125" s="7" t="s">
        <v>95</v>
      </c>
      <c r="G125" s="7" t="s">
        <v>95</v>
      </c>
      <c r="H125" s="7" t="s">
        <v>95</v>
      </c>
      <c r="I125" s="7" t="s">
        <v>95</v>
      </c>
      <c r="J125" s="7" t="s">
        <v>95</v>
      </c>
      <c r="K125" s="7" t="s">
        <v>95</v>
      </c>
      <c r="L125" s="7" t="s">
        <v>95</v>
      </c>
      <c r="M125" s="7"/>
      <c r="N125" s="7"/>
      <c r="O125" s="7"/>
      <c r="P125" s="7"/>
      <c r="Q125" s="7"/>
      <c r="R125" s="7"/>
      <c r="S125" s="7"/>
      <c r="T125" s="7"/>
    </row>
    <row r="126" spans="1:20" ht="15" customHeight="1">
      <c r="A126" s="8" t="s">
        <v>654</v>
      </c>
      <c r="B126" s="6" t="e">
        <f>_xlfn.XLOOKUP(E126,#REF!,#REF!)</f>
        <v>#REF!</v>
      </c>
      <c r="C126" s="6" t="e">
        <f t="shared" si="1"/>
        <v>#REF!</v>
      </c>
      <c r="D126" s="7" t="s">
        <v>112</v>
      </c>
      <c r="E126" s="8" t="s">
        <v>655</v>
      </c>
      <c r="F126" s="7" t="s">
        <v>96</v>
      </c>
      <c r="G126" s="7" t="s">
        <v>96</v>
      </c>
      <c r="H126" s="7" t="s">
        <v>96</v>
      </c>
      <c r="I126" s="7" t="s">
        <v>96</v>
      </c>
      <c r="J126" s="7" t="s">
        <v>95</v>
      </c>
      <c r="K126" s="7" t="s">
        <v>96</v>
      </c>
      <c r="L126" s="7" t="s">
        <v>96</v>
      </c>
      <c r="M126" s="7" t="s">
        <v>108</v>
      </c>
      <c r="N126" s="7" t="s">
        <v>109</v>
      </c>
      <c r="O126" s="7" t="s">
        <v>110</v>
      </c>
      <c r="P126" s="7" t="s">
        <v>1364</v>
      </c>
      <c r="Q126" s="7" t="s">
        <v>1094</v>
      </c>
      <c r="R126" s="10" t="s">
        <v>1213</v>
      </c>
      <c r="S126" s="11">
        <v>45760</v>
      </c>
      <c r="T126" s="7" t="s">
        <v>1074</v>
      </c>
    </row>
    <row r="127" spans="1:20" ht="12" customHeight="1">
      <c r="A127" s="8" t="s">
        <v>660</v>
      </c>
      <c r="B127" s="6" t="e">
        <f>_xlfn.XLOOKUP(E127,#REF!,#REF!)</f>
        <v>#REF!</v>
      </c>
      <c r="C127" s="6" t="e">
        <f t="shared" si="1"/>
        <v>#REF!</v>
      </c>
      <c r="D127" s="7" t="s">
        <v>120</v>
      </c>
      <c r="E127" s="7" t="s">
        <v>661</v>
      </c>
      <c r="F127" s="7" t="s">
        <v>95</v>
      </c>
      <c r="G127" s="7" t="s">
        <v>95</v>
      </c>
      <c r="H127" s="7" t="s">
        <v>95</v>
      </c>
      <c r="I127" s="7" t="s">
        <v>95</v>
      </c>
      <c r="J127" s="7" t="s">
        <v>95</v>
      </c>
      <c r="K127" s="7" t="s">
        <v>95</v>
      </c>
      <c r="L127" s="7" t="s">
        <v>95</v>
      </c>
      <c r="M127" s="7"/>
      <c r="N127" s="7"/>
      <c r="O127" s="7"/>
      <c r="P127" s="7"/>
      <c r="Q127" s="7"/>
      <c r="R127" s="7" t="s">
        <v>1298</v>
      </c>
      <c r="S127" s="7"/>
      <c r="T127" s="7"/>
    </row>
    <row r="128" spans="1:20" ht="12" customHeight="1">
      <c r="A128" s="6" t="s">
        <v>664</v>
      </c>
      <c r="B128" s="6" t="e">
        <f>_xlfn.XLOOKUP(E128,#REF!,#REF!)</f>
        <v>#REF!</v>
      </c>
      <c r="C128" s="6" t="e">
        <f t="shared" si="1"/>
        <v>#REF!</v>
      </c>
      <c r="D128" s="7" t="s">
        <v>132</v>
      </c>
      <c r="E128" s="7" t="s">
        <v>665</v>
      </c>
      <c r="F128" s="7" t="s">
        <v>95</v>
      </c>
      <c r="G128" s="7" t="s">
        <v>95</v>
      </c>
      <c r="H128" s="7" t="s">
        <v>95</v>
      </c>
      <c r="I128" s="7" t="s">
        <v>95</v>
      </c>
      <c r="J128" s="7" t="s">
        <v>95</v>
      </c>
      <c r="K128" s="7" t="s">
        <v>95</v>
      </c>
      <c r="L128" s="7" t="s">
        <v>95</v>
      </c>
      <c r="M128" s="7"/>
      <c r="N128" s="7"/>
      <c r="O128" s="7"/>
      <c r="P128" s="7"/>
      <c r="Q128" s="7"/>
      <c r="R128" s="7"/>
      <c r="S128" s="7"/>
      <c r="T128" s="7"/>
    </row>
    <row r="129" spans="1:21" ht="16.25" customHeight="1">
      <c r="A129" s="8" t="s">
        <v>667</v>
      </c>
      <c r="B129" s="6" t="e">
        <f>_xlfn.XLOOKUP(E129,#REF!,#REF!)</f>
        <v>#REF!</v>
      </c>
      <c r="C129" s="6" t="e">
        <f t="shared" si="1"/>
        <v>#REF!</v>
      </c>
      <c r="D129" s="7" t="s">
        <v>132</v>
      </c>
      <c r="E129" s="8" t="s">
        <v>668</v>
      </c>
      <c r="F129" s="7" t="s">
        <v>96</v>
      </c>
      <c r="G129" s="7" t="s">
        <v>95</v>
      </c>
      <c r="H129" s="7" t="s">
        <v>95</v>
      </c>
      <c r="I129" s="7" t="s">
        <v>95</v>
      </c>
      <c r="J129" s="7" t="s">
        <v>95</v>
      </c>
      <c r="K129" s="7" t="s">
        <v>95</v>
      </c>
      <c r="L129" s="7" t="s">
        <v>96</v>
      </c>
      <c r="M129" s="7" t="s">
        <v>198</v>
      </c>
      <c r="N129" s="7" t="s">
        <v>148</v>
      </c>
      <c r="O129" s="7" t="s">
        <v>197</v>
      </c>
      <c r="P129" s="7" t="s">
        <v>1365</v>
      </c>
      <c r="Q129" s="7"/>
      <c r="R129" s="12" t="s">
        <v>1241</v>
      </c>
      <c r="S129" s="11">
        <v>45750</v>
      </c>
      <c r="T129" s="7" t="s">
        <v>1366</v>
      </c>
    </row>
    <row r="130" spans="1:21" ht="18" customHeight="1">
      <c r="A130" s="8" t="s">
        <v>672</v>
      </c>
      <c r="B130" s="6" t="e">
        <f>_xlfn.XLOOKUP(E130,#REF!,#REF!)</f>
        <v>#REF!</v>
      </c>
      <c r="C130" s="6" t="e">
        <f t="shared" si="1"/>
        <v>#REF!</v>
      </c>
      <c r="D130" s="7" t="s">
        <v>137</v>
      </c>
      <c r="E130" s="8" t="s">
        <v>673</v>
      </c>
      <c r="F130" s="7" t="s">
        <v>96</v>
      </c>
      <c r="G130" s="7" t="s">
        <v>96</v>
      </c>
      <c r="H130" s="7" t="s">
        <v>96</v>
      </c>
      <c r="I130" s="7" t="s">
        <v>96</v>
      </c>
      <c r="J130" s="7" t="s">
        <v>95</v>
      </c>
      <c r="K130" s="7" t="s">
        <v>95</v>
      </c>
      <c r="L130" s="7" t="s">
        <v>96</v>
      </c>
      <c r="M130" s="7" t="s">
        <v>108</v>
      </c>
      <c r="N130" s="7" t="s">
        <v>109</v>
      </c>
      <c r="O130" s="7" t="s">
        <v>110</v>
      </c>
      <c r="P130" s="7" t="s">
        <v>1367</v>
      </c>
      <c r="Q130" s="7" t="s">
        <v>1094</v>
      </c>
      <c r="R130" s="12" t="s">
        <v>1191</v>
      </c>
      <c r="S130" s="11">
        <v>45758</v>
      </c>
      <c r="T130" s="7"/>
      <c r="U130" s="13" t="s">
        <v>1368</v>
      </c>
    </row>
    <row r="131" spans="1:21" ht="12" customHeight="1">
      <c r="A131" s="6" t="s">
        <v>676</v>
      </c>
      <c r="B131" s="6" t="e">
        <f>_xlfn.XLOOKUP(E131,#REF!,#REF!)</f>
        <v>#REF!</v>
      </c>
      <c r="C131" s="6" t="e">
        <f t="shared" ref="C131:C194" si="2">A131=B131</f>
        <v>#REF!</v>
      </c>
      <c r="D131" s="7" t="s">
        <v>120</v>
      </c>
      <c r="E131" s="7" t="s">
        <v>677</v>
      </c>
      <c r="F131" s="7" t="s">
        <v>95</v>
      </c>
      <c r="G131" s="7" t="s">
        <v>95</v>
      </c>
      <c r="H131" s="7" t="s">
        <v>95</v>
      </c>
      <c r="I131" s="7" t="s">
        <v>95</v>
      </c>
      <c r="J131" s="7" t="s">
        <v>95</v>
      </c>
      <c r="K131" s="7" t="s">
        <v>95</v>
      </c>
      <c r="L131" s="7" t="s">
        <v>95</v>
      </c>
      <c r="M131" s="7"/>
      <c r="N131" s="7"/>
      <c r="O131" s="7"/>
      <c r="P131" s="7"/>
      <c r="Q131" s="7"/>
      <c r="R131" s="10" t="s">
        <v>1298</v>
      </c>
      <c r="S131" s="7"/>
      <c r="T131" s="7"/>
    </row>
    <row r="132" spans="1:21" ht="13.25" customHeight="1">
      <c r="A132" s="8" t="s">
        <v>680</v>
      </c>
      <c r="B132" s="6" t="e">
        <f>_xlfn.XLOOKUP(E132,#REF!,#REF!)</f>
        <v>#REF!</v>
      </c>
      <c r="C132" s="6" t="e">
        <f t="shared" si="2"/>
        <v>#REF!</v>
      </c>
      <c r="D132" s="7" t="s">
        <v>100</v>
      </c>
      <c r="E132" s="8" t="s">
        <v>681</v>
      </c>
      <c r="F132" s="7" t="s">
        <v>96</v>
      </c>
      <c r="G132" s="7" t="s">
        <v>96</v>
      </c>
      <c r="H132" s="7" t="s">
        <v>96</v>
      </c>
      <c r="I132" s="7" t="s">
        <v>96</v>
      </c>
      <c r="J132" s="7" t="s">
        <v>95</v>
      </c>
      <c r="K132" s="7" t="s">
        <v>95</v>
      </c>
      <c r="L132" s="7" t="s">
        <v>96</v>
      </c>
      <c r="M132" s="7" t="s">
        <v>108</v>
      </c>
      <c r="N132" s="7" t="s">
        <v>109</v>
      </c>
      <c r="O132" s="7" t="s">
        <v>110</v>
      </c>
      <c r="P132" s="7" t="s">
        <v>1369</v>
      </c>
      <c r="Q132" s="7"/>
      <c r="R132" s="7" t="s">
        <v>1147</v>
      </c>
      <c r="S132" s="11">
        <v>45751</v>
      </c>
      <c r="T132" s="7" t="s">
        <v>1148</v>
      </c>
    </row>
    <row r="133" spans="1:21" ht="12" customHeight="1">
      <c r="A133" s="8" t="s">
        <v>684</v>
      </c>
      <c r="B133" s="6" t="e">
        <f>_xlfn.XLOOKUP(E133,#REF!,#REF!)</f>
        <v>#REF!</v>
      </c>
      <c r="C133" s="6" t="e">
        <f t="shared" si="2"/>
        <v>#REF!</v>
      </c>
      <c r="D133" s="7" t="s">
        <v>100</v>
      </c>
      <c r="E133" s="8" t="s">
        <v>685</v>
      </c>
      <c r="F133" s="7" t="s">
        <v>96</v>
      </c>
      <c r="G133" s="7" t="s">
        <v>95</v>
      </c>
      <c r="H133" s="7" t="s">
        <v>95</v>
      </c>
      <c r="I133" s="7" t="s">
        <v>95</v>
      </c>
      <c r="J133" s="7" t="s">
        <v>95</v>
      </c>
      <c r="K133" s="7" t="s">
        <v>95</v>
      </c>
      <c r="L133" s="7" t="s">
        <v>96</v>
      </c>
      <c r="M133" s="7" t="s">
        <v>198</v>
      </c>
      <c r="N133" s="7" t="s">
        <v>198</v>
      </c>
      <c r="O133" s="7" t="s">
        <v>197</v>
      </c>
      <c r="P133" s="7" t="s">
        <v>1370</v>
      </c>
      <c r="Q133" s="7"/>
      <c r="R133" s="7" t="s">
        <v>1146</v>
      </c>
      <c r="S133" s="11">
        <v>45755</v>
      </c>
      <c r="T133" s="7"/>
    </row>
    <row r="134" spans="1:21" ht="15" customHeight="1">
      <c r="A134" s="8" t="s">
        <v>688</v>
      </c>
      <c r="B134" s="6" t="e">
        <f>_xlfn.XLOOKUP(E134,#REF!,#REF!)</f>
        <v>#REF!</v>
      </c>
      <c r="C134" s="6" t="e">
        <f t="shared" si="2"/>
        <v>#REF!</v>
      </c>
      <c r="D134" s="7" t="s">
        <v>120</v>
      </c>
      <c r="E134" s="8" t="s">
        <v>689</v>
      </c>
      <c r="F134" s="7" t="s">
        <v>96</v>
      </c>
      <c r="G134" s="7" t="s">
        <v>96</v>
      </c>
      <c r="H134" s="7" t="s">
        <v>96</v>
      </c>
      <c r="I134" s="7" t="s">
        <v>95</v>
      </c>
      <c r="J134" s="7" t="s">
        <v>95</v>
      </c>
      <c r="K134" s="7" t="s">
        <v>95</v>
      </c>
      <c r="L134" s="7" t="s">
        <v>95</v>
      </c>
      <c r="M134" s="7" t="s">
        <v>106</v>
      </c>
      <c r="N134" s="7" t="s">
        <v>106</v>
      </c>
      <c r="O134" s="7" t="s">
        <v>149</v>
      </c>
      <c r="P134" s="7" t="s">
        <v>1371</v>
      </c>
      <c r="Q134" s="7" t="s">
        <v>1088</v>
      </c>
      <c r="R134" s="7" t="s">
        <v>1089</v>
      </c>
      <c r="S134" s="7"/>
      <c r="T134" s="7"/>
    </row>
    <row r="135" spans="1:21" ht="15" customHeight="1">
      <c r="A135" s="8" t="s">
        <v>691</v>
      </c>
      <c r="B135" s="6" t="e">
        <f>_xlfn.XLOOKUP(E135,#REF!,#REF!)</f>
        <v>#REF!</v>
      </c>
      <c r="C135" s="6" t="e">
        <f t="shared" si="2"/>
        <v>#REF!</v>
      </c>
      <c r="D135" s="7" t="s">
        <v>100</v>
      </c>
      <c r="E135" s="8" t="s">
        <v>692</v>
      </c>
      <c r="F135" s="7" t="s">
        <v>96</v>
      </c>
      <c r="G135" s="7" t="s">
        <v>96</v>
      </c>
      <c r="H135" s="7" t="s">
        <v>96</v>
      </c>
      <c r="I135" s="7" t="s">
        <v>96</v>
      </c>
      <c r="J135" s="7" t="s">
        <v>96</v>
      </c>
      <c r="K135" s="7" t="s">
        <v>96</v>
      </c>
      <c r="L135" s="7" t="s">
        <v>96</v>
      </c>
      <c r="M135" s="7" t="s">
        <v>198</v>
      </c>
      <c r="N135" s="7" t="s">
        <v>109</v>
      </c>
      <c r="O135" s="7" t="s">
        <v>197</v>
      </c>
      <c r="P135" s="7" t="s">
        <v>1372</v>
      </c>
      <c r="Q135" s="7"/>
      <c r="R135" s="7" t="s">
        <v>1150</v>
      </c>
      <c r="S135" s="11">
        <v>45751</v>
      </c>
      <c r="T135" s="7" t="s">
        <v>1373</v>
      </c>
    </row>
    <row r="136" spans="1:21" ht="15" customHeight="1">
      <c r="A136" s="8" t="s">
        <v>697</v>
      </c>
      <c r="B136" s="6" t="e">
        <f>_xlfn.XLOOKUP(E136,#REF!,#REF!)</f>
        <v>#REF!</v>
      </c>
      <c r="C136" s="6" t="e">
        <f t="shared" si="2"/>
        <v>#REF!</v>
      </c>
      <c r="D136" s="7" t="s">
        <v>112</v>
      </c>
      <c r="E136" s="8" t="s">
        <v>698</v>
      </c>
      <c r="F136" s="7" t="s">
        <v>96</v>
      </c>
      <c r="G136" s="7" t="s">
        <v>96</v>
      </c>
      <c r="H136" s="7" t="s">
        <v>95</v>
      </c>
      <c r="I136" s="7" t="s">
        <v>95</v>
      </c>
      <c r="J136" s="7" t="s">
        <v>95</v>
      </c>
      <c r="K136" s="7" t="s">
        <v>95</v>
      </c>
      <c r="L136" s="7" t="s">
        <v>96</v>
      </c>
      <c r="M136" s="7" t="s">
        <v>106</v>
      </c>
      <c r="N136" s="7" t="s">
        <v>106</v>
      </c>
      <c r="O136" s="7" t="s">
        <v>149</v>
      </c>
      <c r="P136" s="7" t="s">
        <v>1374</v>
      </c>
      <c r="Q136" s="7">
        <v>6</v>
      </c>
      <c r="R136" s="7" t="s">
        <v>1214</v>
      </c>
      <c r="S136" s="7"/>
      <c r="T136" s="7"/>
    </row>
    <row r="137" spans="1:21" ht="12" customHeight="1">
      <c r="A137" s="8" t="s">
        <v>701</v>
      </c>
      <c r="B137" s="6" t="e">
        <f>_xlfn.XLOOKUP(E137,#REF!,#REF!)</f>
        <v>#REF!</v>
      </c>
      <c r="C137" s="6" t="e">
        <f t="shared" si="2"/>
        <v>#REF!</v>
      </c>
      <c r="D137" s="7" t="s">
        <v>132</v>
      </c>
      <c r="E137" s="8" t="s">
        <v>702</v>
      </c>
      <c r="F137" s="7" t="s">
        <v>96</v>
      </c>
      <c r="G137" s="7" t="s">
        <v>96</v>
      </c>
      <c r="H137" s="7" t="s">
        <v>95</v>
      </c>
      <c r="I137" s="7" t="s">
        <v>95</v>
      </c>
      <c r="J137" s="7" t="s">
        <v>95</v>
      </c>
      <c r="K137" s="7" t="s">
        <v>95</v>
      </c>
      <c r="L137" s="7" t="s">
        <v>95</v>
      </c>
      <c r="M137" s="7" t="s">
        <v>198</v>
      </c>
      <c r="N137" s="7" t="s">
        <v>198</v>
      </c>
      <c r="O137" s="7" t="s">
        <v>110</v>
      </c>
      <c r="P137" s="7" t="s">
        <v>1375</v>
      </c>
      <c r="Q137" s="7"/>
      <c r="R137" s="7" t="s">
        <v>1242</v>
      </c>
      <c r="S137" s="11">
        <v>45755</v>
      </c>
      <c r="T137" s="7"/>
    </row>
    <row r="138" spans="1:21" ht="12" customHeight="1">
      <c r="A138" s="8" t="s">
        <v>706</v>
      </c>
      <c r="B138" s="6" t="e">
        <f>_xlfn.XLOOKUP(E138,#REF!,#REF!)</f>
        <v>#REF!</v>
      </c>
      <c r="C138" s="6" t="e">
        <f t="shared" si="2"/>
        <v>#REF!</v>
      </c>
      <c r="D138" s="7" t="s">
        <v>120</v>
      </c>
      <c r="E138" s="8" t="s">
        <v>707</v>
      </c>
      <c r="F138" s="7" t="s">
        <v>96</v>
      </c>
      <c r="G138" s="7" t="s">
        <v>95</v>
      </c>
      <c r="H138" s="7" t="s">
        <v>95</v>
      </c>
      <c r="I138" s="7" t="s">
        <v>95</v>
      </c>
      <c r="J138" s="7" t="s">
        <v>95</v>
      </c>
      <c r="K138" s="7" t="s">
        <v>95</v>
      </c>
      <c r="L138" s="7" t="s">
        <v>96</v>
      </c>
      <c r="M138" s="7" t="s">
        <v>198</v>
      </c>
      <c r="N138" s="7" t="s">
        <v>198</v>
      </c>
      <c r="O138" s="7" t="s">
        <v>149</v>
      </c>
      <c r="P138" s="7" t="s">
        <v>1376</v>
      </c>
      <c r="Q138" s="7"/>
      <c r="R138" s="7" t="s">
        <v>1090</v>
      </c>
      <c r="S138" s="11">
        <v>45755</v>
      </c>
      <c r="T138" s="7"/>
    </row>
    <row r="139" spans="1:21" ht="12" customHeight="1">
      <c r="A139" s="8" t="s">
        <v>711</v>
      </c>
      <c r="B139" s="6" t="e">
        <f>_xlfn.XLOOKUP(E139,#REF!,#REF!)</f>
        <v>#REF!</v>
      </c>
      <c r="C139" s="6" t="e">
        <f t="shared" si="2"/>
        <v>#REF!</v>
      </c>
      <c r="D139" s="7" t="s">
        <v>132</v>
      </c>
      <c r="E139" s="8" t="s">
        <v>712</v>
      </c>
      <c r="F139" s="7" t="s">
        <v>96</v>
      </c>
      <c r="G139" s="7" t="s">
        <v>95</v>
      </c>
      <c r="H139" s="7" t="s">
        <v>96</v>
      </c>
      <c r="I139" s="7" t="s">
        <v>95</v>
      </c>
      <c r="J139" s="7" t="s">
        <v>95</v>
      </c>
      <c r="K139" s="7" t="s">
        <v>95</v>
      </c>
      <c r="L139" s="7" t="s">
        <v>95</v>
      </c>
      <c r="M139" s="7" t="s">
        <v>198</v>
      </c>
      <c r="N139" s="7" t="s">
        <v>198</v>
      </c>
      <c r="O139" s="7" t="s">
        <v>149</v>
      </c>
      <c r="P139" s="7" t="s">
        <v>1377</v>
      </c>
      <c r="Q139" s="7" t="s">
        <v>1094</v>
      </c>
      <c r="R139" s="12" t="s">
        <v>1243</v>
      </c>
      <c r="S139" s="11">
        <v>45758</v>
      </c>
      <c r="T139" s="7"/>
    </row>
    <row r="140" spans="1:21" ht="12" customHeight="1">
      <c r="A140" s="6" t="s">
        <v>717</v>
      </c>
      <c r="B140" s="6" t="e">
        <f>_xlfn.XLOOKUP(E140,#REF!,#REF!)</f>
        <v>#REF!</v>
      </c>
      <c r="C140" s="6" t="e">
        <f t="shared" si="2"/>
        <v>#REF!</v>
      </c>
      <c r="D140" s="7" t="s">
        <v>120</v>
      </c>
      <c r="E140" s="7" t="s">
        <v>718</v>
      </c>
      <c r="F140" s="7" t="s">
        <v>95</v>
      </c>
      <c r="G140" s="7" t="s">
        <v>95</v>
      </c>
      <c r="H140" s="7" t="s">
        <v>95</v>
      </c>
      <c r="I140" s="7" t="s">
        <v>95</v>
      </c>
      <c r="J140" s="7" t="s">
        <v>95</v>
      </c>
      <c r="K140" s="7" t="s">
        <v>95</v>
      </c>
      <c r="L140" s="7" t="s">
        <v>95</v>
      </c>
      <c r="M140" s="7"/>
      <c r="N140" s="7"/>
      <c r="O140" s="7"/>
      <c r="P140" s="7"/>
      <c r="Q140" s="7"/>
      <c r="R140" s="7" t="s">
        <v>1298</v>
      </c>
      <c r="S140" s="7"/>
      <c r="T140" s="7"/>
    </row>
    <row r="141" spans="1:21" ht="13.25" customHeight="1">
      <c r="A141" s="6" t="s">
        <v>722</v>
      </c>
      <c r="B141" s="6" t="e">
        <f>_xlfn.XLOOKUP(E141,#REF!,#REF!)</f>
        <v>#REF!</v>
      </c>
      <c r="C141" s="6" t="e">
        <f t="shared" si="2"/>
        <v>#REF!</v>
      </c>
      <c r="D141" s="7" t="s">
        <v>91</v>
      </c>
      <c r="E141" s="7" t="s">
        <v>723</v>
      </c>
      <c r="F141" s="7" t="s">
        <v>95</v>
      </c>
      <c r="G141" s="7" t="s">
        <v>95</v>
      </c>
      <c r="H141" s="7" t="s">
        <v>95</v>
      </c>
      <c r="I141" s="7" t="s">
        <v>95</v>
      </c>
      <c r="J141" s="7" t="s">
        <v>95</v>
      </c>
      <c r="K141" s="7" t="s">
        <v>95</v>
      </c>
      <c r="L141" s="7" t="s">
        <v>95</v>
      </c>
      <c r="M141" s="7"/>
      <c r="N141" s="7"/>
      <c r="O141" s="7"/>
      <c r="P141" s="7"/>
      <c r="Q141" s="7"/>
      <c r="R141" s="7"/>
      <c r="S141" s="7"/>
      <c r="T141" s="7"/>
    </row>
    <row r="142" spans="1:21" ht="16.25" customHeight="1">
      <c r="A142" s="8" t="s">
        <v>727</v>
      </c>
      <c r="B142" s="6" t="e">
        <f>_xlfn.XLOOKUP(E142,#REF!,#REF!)</f>
        <v>#REF!</v>
      </c>
      <c r="C142" s="6" t="e">
        <f t="shared" si="2"/>
        <v>#REF!</v>
      </c>
      <c r="D142" s="7" t="s">
        <v>100</v>
      </c>
      <c r="E142" s="8" t="s">
        <v>728</v>
      </c>
      <c r="F142" s="7" t="s">
        <v>96</v>
      </c>
      <c r="G142" s="7" t="s">
        <v>96</v>
      </c>
      <c r="H142" s="7" t="s">
        <v>96</v>
      </c>
      <c r="I142" s="7" t="s">
        <v>96</v>
      </c>
      <c r="J142" s="7" t="s">
        <v>95</v>
      </c>
      <c r="K142" s="7" t="s">
        <v>96</v>
      </c>
      <c r="L142" s="7" t="s">
        <v>96</v>
      </c>
      <c r="M142" s="7" t="s">
        <v>108</v>
      </c>
      <c r="N142" s="7" t="s">
        <v>109</v>
      </c>
      <c r="O142" s="7" t="s">
        <v>110</v>
      </c>
      <c r="P142" s="7" t="s">
        <v>1378</v>
      </c>
      <c r="Q142" s="7" t="s">
        <v>1094</v>
      </c>
      <c r="R142" s="10" t="s">
        <v>1151</v>
      </c>
      <c r="S142" s="11">
        <v>45760</v>
      </c>
      <c r="T142" s="9"/>
    </row>
    <row r="143" spans="1:21" ht="12" customHeight="1">
      <c r="A143" s="6" t="s">
        <v>731</v>
      </c>
      <c r="B143" s="6" t="e">
        <f>_xlfn.XLOOKUP(E143,#REF!,#REF!)</f>
        <v>#REF!</v>
      </c>
      <c r="C143" s="6" t="e">
        <f t="shared" si="2"/>
        <v>#REF!</v>
      </c>
      <c r="D143" s="7" t="s">
        <v>120</v>
      </c>
      <c r="E143" s="7" t="s">
        <v>732</v>
      </c>
      <c r="F143" s="7" t="s">
        <v>95</v>
      </c>
      <c r="G143" s="7" t="s">
        <v>95</v>
      </c>
      <c r="H143" s="7" t="s">
        <v>95</v>
      </c>
      <c r="I143" s="7" t="s">
        <v>95</v>
      </c>
      <c r="J143" s="7" t="s">
        <v>95</v>
      </c>
      <c r="K143" s="7" t="s">
        <v>95</v>
      </c>
      <c r="L143" s="7" t="s">
        <v>95</v>
      </c>
      <c r="M143" s="7"/>
      <c r="N143" s="7"/>
      <c r="O143" s="7"/>
      <c r="P143" s="7"/>
      <c r="Q143" s="7"/>
      <c r="R143" s="7"/>
      <c r="S143" s="7"/>
      <c r="T143" s="7"/>
    </row>
    <row r="144" spans="1:21" ht="11" customHeight="1">
      <c r="A144" s="8" t="s">
        <v>735</v>
      </c>
      <c r="B144" s="6" t="e">
        <f>_xlfn.XLOOKUP(E144,#REF!,#REF!)</f>
        <v>#REF!</v>
      </c>
      <c r="C144" s="6" t="e">
        <f t="shared" si="2"/>
        <v>#REF!</v>
      </c>
      <c r="D144" s="7" t="s">
        <v>120</v>
      </c>
      <c r="E144" s="8" t="s">
        <v>736</v>
      </c>
      <c r="F144" s="7" t="s">
        <v>96</v>
      </c>
      <c r="G144" s="7" t="s">
        <v>96</v>
      </c>
      <c r="H144" s="7" t="s">
        <v>96</v>
      </c>
      <c r="I144" s="7" t="s">
        <v>96</v>
      </c>
      <c r="J144" s="7" t="s">
        <v>96</v>
      </c>
      <c r="K144" s="7" t="s">
        <v>95</v>
      </c>
      <c r="L144" s="7" t="s">
        <v>96</v>
      </c>
      <c r="M144" s="7" t="s">
        <v>108</v>
      </c>
      <c r="N144" s="7" t="s">
        <v>109</v>
      </c>
      <c r="O144" s="7" t="s">
        <v>110</v>
      </c>
      <c r="P144" s="7" t="s">
        <v>1091</v>
      </c>
      <c r="Q144" s="7" t="s">
        <v>1094</v>
      </c>
      <c r="R144" s="12" t="s">
        <v>1092</v>
      </c>
      <c r="S144" s="11">
        <v>45694</v>
      </c>
      <c r="T144" s="7" t="s">
        <v>1093</v>
      </c>
    </row>
    <row r="145" spans="1:21" ht="12" customHeight="1">
      <c r="A145" s="6" t="s">
        <v>740</v>
      </c>
      <c r="B145" s="6" t="e">
        <f>_xlfn.XLOOKUP(E145,#REF!,#REF!)</f>
        <v>#REF!</v>
      </c>
      <c r="C145" s="6" t="e">
        <f t="shared" si="2"/>
        <v>#REF!</v>
      </c>
      <c r="D145" s="7" t="s">
        <v>137</v>
      </c>
      <c r="E145" s="7" t="s">
        <v>741</v>
      </c>
      <c r="F145" s="7" t="s">
        <v>95</v>
      </c>
      <c r="G145" s="7" t="s">
        <v>95</v>
      </c>
      <c r="H145" s="7" t="s">
        <v>95</v>
      </c>
      <c r="I145" s="7" t="s">
        <v>95</v>
      </c>
      <c r="J145" s="7" t="s">
        <v>95</v>
      </c>
      <c r="K145" s="7" t="s">
        <v>95</v>
      </c>
      <c r="L145" s="7" t="s">
        <v>95</v>
      </c>
      <c r="M145" s="7"/>
      <c r="N145" s="7"/>
      <c r="O145" s="7"/>
      <c r="P145" s="7"/>
      <c r="Q145" s="7"/>
      <c r="R145" s="7"/>
      <c r="S145" s="7"/>
      <c r="T145" s="7"/>
    </row>
    <row r="146" spans="1:21" ht="12" customHeight="1">
      <c r="A146" s="6" t="s">
        <v>743</v>
      </c>
      <c r="B146" s="6" t="e">
        <f>_xlfn.XLOOKUP(E146,#REF!,#REF!)</f>
        <v>#REF!</v>
      </c>
      <c r="C146" s="6" t="e">
        <f t="shared" si="2"/>
        <v>#REF!</v>
      </c>
      <c r="D146" s="7" t="s">
        <v>132</v>
      </c>
      <c r="E146" s="7" t="s">
        <v>744</v>
      </c>
      <c r="F146" s="7" t="s">
        <v>95</v>
      </c>
      <c r="G146" s="7" t="s">
        <v>95</v>
      </c>
      <c r="H146" s="7" t="s">
        <v>95</v>
      </c>
      <c r="I146" s="7" t="s">
        <v>95</v>
      </c>
      <c r="J146" s="7" t="s">
        <v>95</v>
      </c>
      <c r="K146" s="7" t="s">
        <v>95</v>
      </c>
      <c r="L146" s="7" t="s">
        <v>95</v>
      </c>
      <c r="M146" s="7"/>
      <c r="N146" s="7"/>
      <c r="O146" s="7"/>
      <c r="P146" s="7"/>
      <c r="Q146" s="7"/>
      <c r="R146" s="7"/>
      <c r="S146" s="7"/>
      <c r="T146" s="7"/>
    </row>
    <row r="147" spans="1:21" ht="17" customHeight="1">
      <c r="A147" s="8" t="s">
        <v>747</v>
      </c>
      <c r="B147" s="6" t="e">
        <f>_xlfn.XLOOKUP(E147,#REF!,#REF!)</f>
        <v>#REF!</v>
      </c>
      <c r="C147" s="6" t="e">
        <f t="shared" si="2"/>
        <v>#REF!</v>
      </c>
      <c r="D147" s="7" t="s">
        <v>132</v>
      </c>
      <c r="E147" s="8" t="s">
        <v>748</v>
      </c>
      <c r="F147" s="7" t="s">
        <v>96</v>
      </c>
      <c r="G147" s="7" t="s">
        <v>96</v>
      </c>
      <c r="H147" s="7" t="s">
        <v>96</v>
      </c>
      <c r="I147" s="7" t="s">
        <v>96</v>
      </c>
      <c r="J147" s="7" t="s">
        <v>95</v>
      </c>
      <c r="K147" s="7" t="s">
        <v>95</v>
      </c>
      <c r="L147" s="7" t="s">
        <v>95</v>
      </c>
      <c r="M147" s="7" t="s">
        <v>108</v>
      </c>
      <c r="N147" s="7" t="s">
        <v>109</v>
      </c>
      <c r="O147" s="7" t="s">
        <v>110</v>
      </c>
      <c r="P147" s="7" t="s">
        <v>1379</v>
      </c>
      <c r="Q147" s="7" t="s">
        <v>1094</v>
      </c>
      <c r="R147" s="12" t="s">
        <v>1244</v>
      </c>
      <c r="S147" s="11">
        <v>45751</v>
      </c>
      <c r="T147" s="7"/>
    </row>
    <row r="148" spans="1:21" ht="17" customHeight="1">
      <c r="A148" s="6"/>
      <c r="B148" s="6" t="e">
        <f>_xlfn.XLOOKUP(E148,#REF!,#REF!)</f>
        <v>#REF!</v>
      </c>
      <c r="C148" s="6" t="e">
        <f t="shared" si="2"/>
        <v>#REF!</v>
      </c>
      <c r="D148" s="7"/>
      <c r="E148" s="7" t="s">
        <v>1380</v>
      </c>
      <c r="F148" s="7"/>
      <c r="G148" s="7" t="s">
        <v>95</v>
      </c>
      <c r="H148" s="7" t="s">
        <v>95</v>
      </c>
      <c r="I148" s="7" t="s">
        <v>95</v>
      </c>
      <c r="J148" s="7" t="s">
        <v>95</v>
      </c>
      <c r="K148" s="7" t="s">
        <v>95</v>
      </c>
      <c r="L148" s="7" t="s">
        <v>95</v>
      </c>
      <c r="M148" s="7"/>
      <c r="N148" s="7"/>
      <c r="O148" s="7"/>
      <c r="P148" s="7"/>
      <c r="Q148" s="7"/>
      <c r="R148" s="12" t="s">
        <v>1298</v>
      </c>
      <c r="S148" s="11"/>
      <c r="T148" s="7"/>
    </row>
    <row r="149" spans="1:21" ht="14" customHeight="1">
      <c r="A149" s="8" t="s">
        <v>751</v>
      </c>
      <c r="B149" s="6" t="e">
        <f>_xlfn.XLOOKUP(E149,#REF!,#REF!)</f>
        <v>#REF!</v>
      </c>
      <c r="C149" s="6" t="e">
        <f t="shared" si="2"/>
        <v>#REF!</v>
      </c>
      <c r="D149" s="7" t="s">
        <v>100</v>
      </c>
      <c r="E149" s="8" t="s">
        <v>752</v>
      </c>
      <c r="F149" s="7" t="s">
        <v>96</v>
      </c>
      <c r="G149" s="7" t="s">
        <v>96</v>
      </c>
      <c r="H149" s="7" t="s">
        <v>96</v>
      </c>
      <c r="I149" s="7" t="s">
        <v>96</v>
      </c>
      <c r="J149" s="7" t="s">
        <v>95</v>
      </c>
      <c r="K149" s="7" t="s">
        <v>95</v>
      </c>
      <c r="L149" s="7" t="s">
        <v>96</v>
      </c>
      <c r="M149" s="7" t="s">
        <v>108</v>
      </c>
      <c r="N149" s="7" t="s">
        <v>109</v>
      </c>
      <c r="O149" s="7" t="s">
        <v>110</v>
      </c>
      <c r="P149" s="7" t="s">
        <v>1381</v>
      </c>
      <c r="Q149" s="7" t="s">
        <v>1094</v>
      </c>
      <c r="R149" s="17" t="s">
        <v>1149</v>
      </c>
      <c r="S149" s="11">
        <v>45751</v>
      </c>
      <c r="T149" s="7" t="s">
        <v>1382</v>
      </c>
    </row>
    <row r="150" spans="1:21" ht="12" customHeight="1">
      <c r="A150" s="6" t="s">
        <v>755</v>
      </c>
      <c r="B150" s="6" t="e">
        <f>_xlfn.XLOOKUP(E150,#REF!,#REF!)</f>
        <v>#REF!</v>
      </c>
      <c r="C150" s="6" t="e">
        <f t="shared" si="2"/>
        <v>#REF!</v>
      </c>
      <c r="D150" s="7" t="s">
        <v>120</v>
      </c>
      <c r="E150" s="7" t="s">
        <v>756</v>
      </c>
      <c r="F150" s="7" t="s">
        <v>95</v>
      </c>
      <c r="G150" s="7" t="s">
        <v>95</v>
      </c>
      <c r="H150" s="7" t="s">
        <v>95</v>
      </c>
      <c r="I150" s="7" t="s">
        <v>95</v>
      </c>
      <c r="J150" s="7" t="s">
        <v>95</v>
      </c>
      <c r="K150" s="7" t="s">
        <v>95</v>
      </c>
      <c r="L150" s="7" t="s">
        <v>95</v>
      </c>
      <c r="M150" s="7"/>
      <c r="N150" s="7"/>
      <c r="O150" s="7"/>
      <c r="P150" s="7"/>
      <c r="Q150" s="7"/>
      <c r="R150" s="7"/>
      <c r="S150" s="7"/>
      <c r="T150" s="7"/>
    </row>
    <row r="151" spans="1:21" ht="12" customHeight="1">
      <c r="A151" s="8" t="s">
        <v>761</v>
      </c>
      <c r="B151" s="6" t="e">
        <f>_xlfn.XLOOKUP(E151,#REF!,#REF!)</f>
        <v>#REF!</v>
      </c>
      <c r="C151" s="6" t="e">
        <f t="shared" si="2"/>
        <v>#REF!</v>
      </c>
      <c r="D151" s="7" t="s">
        <v>100</v>
      </c>
      <c r="E151" s="8" t="s">
        <v>762</v>
      </c>
      <c r="F151" s="7" t="s">
        <v>96</v>
      </c>
      <c r="G151" s="7" t="s">
        <v>96</v>
      </c>
      <c r="H151" s="7" t="s">
        <v>96</v>
      </c>
      <c r="I151" s="7" t="s">
        <v>96</v>
      </c>
      <c r="J151" s="7" t="s">
        <v>95</v>
      </c>
      <c r="K151" s="7" t="s">
        <v>95</v>
      </c>
      <c r="L151" s="7" t="s">
        <v>96</v>
      </c>
      <c r="M151" s="7" t="s">
        <v>108</v>
      </c>
      <c r="N151" s="7" t="s">
        <v>109</v>
      </c>
      <c r="O151" s="7" t="s">
        <v>110</v>
      </c>
      <c r="P151" s="7" t="s">
        <v>1383</v>
      </c>
      <c r="Q151" s="7" t="s">
        <v>1094</v>
      </c>
      <c r="R151" s="12" t="s">
        <v>1152</v>
      </c>
      <c r="S151" s="11">
        <v>45693</v>
      </c>
      <c r="T151" s="7"/>
    </row>
    <row r="152" spans="1:21" ht="12" customHeight="1">
      <c r="A152" s="6" t="s">
        <v>766</v>
      </c>
      <c r="B152" s="6" t="e">
        <f>_xlfn.XLOOKUP(E152,#REF!,#REF!)</f>
        <v>#REF!</v>
      </c>
      <c r="C152" s="6" t="e">
        <f t="shared" si="2"/>
        <v>#REF!</v>
      </c>
      <c r="D152" s="7" t="s">
        <v>112</v>
      </c>
      <c r="E152" s="7" t="s">
        <v>767</v>
      </c>
      <c r="F152" s="7" t="s">
        <v>95</v>
      </c>
      <c r="G152" s="7" t="s">
        <v>95</v>
      </c>
      <c r="H152" s="7" t="s">
        <v>95</v>
      </c>
      <c r="I152" s="7" t="s">
        <v>95</v>
      </c>
      <c r="J152" s="7" t="s">
        <v>95</v>
      </c>
      <c r="K152" s="7" t="s">
        <v>95</v>
      </c>
      <c r="L152" s="7" t="s">
        <v>95</v>
      </c>
      <c r="M152" s="7"/>
      <c r="N152" s="7"/>
      <c r="O152" s="7"/>
      <c r="P152" s="7"/>
      <c r="Q152" s="7"/>
      <c r="R152" s="7"/>
      <c r="S152" s="7"/>
      <c r="T152" s="7"/>
    </row>
    <row r="153" spans="1:21" ht="15" customHeight="1">
      <c r="A153" s="8"/>
      <c r="B153" s="6" t="e">
        <f>_xlfn.XLOOKUP(E153,#REF!,#REF!)</f>
        <v>#REF!</v>
      </c>
      <c r="C153" s="6" t="e">
        <f t="shared" si="2"/>
        <v>#REF!</v>
      </c>
      <c r="D153" s="7"/>
      <c r="E153" s="8" t="s">
        <v>771</v>
      </c>
      <c r="F153" s="7" t="s">
        <v>96</v>
      </c>
      <c r="G153" s="7" t="s">
        <v>95</v>
      </c>
      <c r="H153" s="7" t="s">
        <v>95</v>
      </c>
      <c r="I153" s="7" t="s">
        <v>95</v>
      </c>
      <c r="J153" s="7" t="s">
        <v>96</v>
      </c>
      <c r="K153" s="7" t="s">
        <v>95</v>
      </c>
      <c r="L153" s="7" t="s">
        <v>95</v>
      </c>
      <c r="M153" s="7" t="s">
        <v>108</v>
      </c>
      <c r="N153" s="7" t="s">
        <v>109</v>
      </c>
      <c r="O153" s="7" t="s">
        <v>110</v>
      </c>
      <c r="P153" s="22" t="s">
        <v>1384</v>
      </c>
      <c r="Q153" s="7"/>
      <c r="R153" t="s">
        <v>1224</v>
      </c>
      <c r="S153" s="11">
        <v>45751</v>
      </c>
      <c r="T153" s="7" t="s">
        <v>1225</v>
      </c>
    </row>
    <row r="154" spans="1:21" ht="15" customHeight="1">
      <c r="A154" s="6" t="s">
        <v>773</v>
      </c>
      <c r="B154" s="6" t="e">
        <f>_xlfn.XLOOKUP(E154,#REF!,#REF!)</f>
        <v>#REF!</v>
      </c>
      <c r="C154" s="6" t="e">
        <f t="shared" si="2"/>
        <v>#REF!</v>
      </c>
      <c r="D154" s="7" t="s">
        <v>120</v>
      </c>
      <c r="E154" s="7" t="s">
        <v>774</v>
      </c>
      <c r="F154" s="7" t="s">
        <v>95</v>
      </c>
      <c r="G154" s="7" t="s">
        <v>95</v>
      </c>
      <c r="H154" s="7" t="s">
        <v>95</v>
      </c>
      <c r="I154" s="7" t="s">
        <v>95</v>
      </c>
      <c r="J154" s="7" t="s">
        <v>95</v>
      </c>
      <c r="K154" s="7" t="s">
        <v>95</v>
      </c>
      <c r="L154" s="7" t="s">
        <v>95</v>
      </c>
      <c r="M154" s="7"/>
      <c r="N154" s="7"/>
      <c r="O154" s="7"/>
      <c r="P154" s="7"/>
      <c r="Q154" s="7"/>
      <c r="R154" s="1"/>
      <c r="S154" s="11"/>
      <c r="T154" s="7"/>
    </row>
    <row r="155" spans="1:21" ht="14" customHeight="1">
      <c r="A155" s="8" t="s">
        <v>778</v>
      </c>
      <c r="B155" s="6" t="e">
        <f>_xlfn.XLOOKUP(E155,#REF!,#REF!)</f>
        <v>#REF!</v>
      </c>
      <c r="C155" s="6" t="e">
        <f t="shared" si="2"/>
        <v>#REF!</v>
      </c>
      <c r="D155" s="7" t="s">
        <v>137</v>
      </c>
      <c r="E155" s="8" t="s">
        <v>779</v>
      </c>
      <c r="F155" s="7" t="s">
        <v>96</v>
      </c>
      <c r="G155" s="7" t="s">
        <v>96</v>
      </c>
      <c r="H155" s="7" t="s">
        <v>96</v>
      </c>
      <c r="I155" s="7" t="s">
        <v>96</v>
      </c>
      <c r="J155" s="7" t="s">
        <v>95</v>
      </c>
      <c r="K155" s="7" t="s">
        <v>95</v>
      </c>
      <c r="L155" s="7" t="s">
        <v>96</v>
      </c>
      <c r="M155" s="7" t="s">
        <v>198</v>
      </c>
      <c r="N155" s="7" t="s">
        <v>198</v>
      </c>
      <c r="O155" s="7" t="s">
        <v>197</v>
      </c>
      <c r="P155" s="7" t="s">
        <v>1385</v>
      </c>
      <c r="Q155" s="7" t="s">
        <v>1094</v>
      </c>
      <c r="R155" s="12" t="s">
        <v>1192</v>
      </c>
      <c r="S155" s="11">
        <v>45758</v>
      </c>
      <c r="T155" s="7" t="s">
        <v>1169</v>
      </c>
      <c r="U155" s="13" t="s">
        <v>1386</v>
      </c>
    </row>
    <row r="156" spans="1:21" ht="12" customHeight="1">
      <c r="A156" s="6" t="s">
        <v>781</v>
      </c>
      <c r="B156" s="6" t="e">
        <f>_xlfn.XLOOKUP(E156,#REF!,#REF!)</f>
        <v>#REF!</v>
      </c>
      <c r="C156" s="6" t="e">
        <f t="shared" si="2"/>
        <v>#REF!</v>
      </c>
      <c r="D156" s="7" t="s">
        <v>120</v>
      </c>
      <c r="E156" s="7" t="s">
        <v>782</v>
      </c>
      <c r="F156" s="7" t="s">
        <v>95</v>
      </c>
      <c r="G156" s="7" t="s">
        <v>95</v>
      </c>
      <c r="H156" s="7" t="s">
        <v>95</v>
      </c>
      <c r="I156" s="7" t="s">
        <v>95</v>
      </c>
      <c r="J156" s="7" t="s">
        <v>95</v>
      </c>
      <c r="K156" s="7" t="s">
        <v>95</v>
      </c>
      <c r="L156" s="7" t="s">
        <v>95</v>
      </c>
      <c r="M156" s="7"/>
      <c r="N156" s="7"/>
      <c r="O156" s="7"/>
      <c r="P156" s="7"/>
      <c r="Q156" s="7"/>
      <c r="R156" s="7"/>
      <c r="S156" s="7"/>
      <c r="T156" s="7"/>
    </row>
    <row r="157" spans="1:21" ht="12" customHeight="1">
      <c r="A157" s="6" t="s">
        <v>786</v>
      </c>
      <c r="B157" s="6" t="e">
        <f>_xlfn.XLOOKUP(E157,#REF!,#REF!)</f>
        <v>#REF!</v>
      </c>
      <c r="C157" s="6" t="e">
        <f t="shared" si="2"/>
        <v>#REF!</v>
      </c>
      <c r="D157" s="7" t="s">
        <v>137</v>
      </c>
      <c r="E157" s="7" t="s">
        <v>787</v>
      </c>
      <c r="F157" s="7" t="s">
        <v>95</v>
      </c>
      <c r="G157" s="7" t="s">
        <v>95</v>
      </c>
      <c r="H157" s="7" t="s">
        <v>95</v>
      </c>
      <c r="I157" s="7" t="s">
        <v>95</v>
      </c>
      <c r="J157" s="7" t="s">
        <v>95</v>
      </c>
      <c r="K157" s="7" t="s">
        <v>95</v>
      </c>
      <c r="L157" s="7" t="s">
        <v>95</v>
      </c>
      <c r="M157" s="7"/>
      <c r="N157" s="7"/>
      <c r="O157" s="7"/>
      <c r="P157" s="7"/>
      <c r="Q157" s="7"/>
      <c r="R157" s="7"/>
      <c r="S157" s="7"/>
      <c r="T157" s="7"/>
    </row>
    <row r="158" spans="1:21" ht="12" customHeight="1">
      <c r="A158" s="8" t="s">
        <v>790</v>
      </c>
      <c r="B158" s="6" t="e">
        <f>_xlfn.XLOOKUP(E158,#REF!,#REF!)</f>
        <v>#REF!</v>
      </c>
      <c r="C158" s="6" t="e">
        <f t="shared" si="2"/>
        <v>#REF!</v>
      </c>
      <c r="D158" s="7" t="s">
        <v>137</v>
      </c>
      <c r="E158" s="8" t="s">
        <v>791</v>
      </c>
      <c r="F158" s="7" t="s">
        <v>96</v>
      </c>
      <c r="G158" s="7" t="s">
        <v>96</v>
      </c>
      <c r="H158" s="7" t="s">
        <v>96</v>
      </c>
      <c r="I158" s="7" t="s">
        <v>95</v>
      </c>
      <c r="J158" s="7" t="s">
        <v>95</v>
      </c>
      <c r="K158" s="7" t="s">
        <v>95</v>
      </c>
      <c r="L158" s="7" t="s">
        <v>96</v>
      </c>
      <c r="M158" s="7" t="s">
        <v>345</v>
      </c>
      <c r="N158" s="7" t="s">
        <v>109</v>
      </c>
      <c r="O158" s="7" t="s">
        <v>110</v>
      </c>
      <c r="P158" s="9" t="s">
        <v>1387</v>
      </c>
      <c r="Q158" s="7" t="s">
        <v>1094</v>
      </c>
      <c r="R158" s="23" t="s">
        <v>1193</v>
      </c>
      <c r="S158" s="11">
        <v>45751</v>
      </c>
      <c r="T158" s="7"/>
    </row>
    <row r="159" spans="1:21" ht="13.25" customHeight="1">
      <c r="A159" s="8" t="s">
        <v>794</v>
      </c>
      <c r="B159" s="6" t="e">
        <f>_xlfn.XLOOKUP(E159,#REF!,#REF!)</f>
        <v>#REF!</v>
      </c>
      <c r="C159" s="6" t="e">
        <f t="shared" si="2"/>
        <v>#REF!</v>
      </c>
      <c r="D159" s="7" t="s">
        <v>120</v>
      </c>
      <c r="E159" s="8" t="s">
        <v>795</v>
      </c>
      <c r="F159" s="7" t="s">
        <v>96</v>
      </c>
      <c r="G159" s="7" t="s">
        <v>96</v>
      </c>
      <c r="H159" s="7" t="s">
        <v>95</v>
      </c>
      <c r="I159" s="7" t="s">
        <v>95</v>
      </c>
      <c r="J159" s="7" t="s">
        <v>95</v>
      </c>
      <c r="K159" s="7" t="s">
        <v>95</v>
      </c>
      <c r="L159" s="7" t="s">
        <v>95</v>
      </c>
      <c r="M159" s="7" t="s">
        <v>108</v>
      </c>
      <c r="N159" s="7" t="s">
        <v>109</v>
      </c>
      <c r="O159" s="7" t="s">
        <v>110</v>
      </c>
      <c r="P159" s="7" t="s">
        <v>1388</v>
      </c>
      <c r="Q159" s="7" t="s">
        <v>1094</v>
      </c>
      <c r="R159" s="17" t="s">
        <v>1095</v>
      </c>
      <c r="S159" s="11">
        <v>45694</v>
      </c>
      <c r="T159" s="7"/>
    </row>
    <row r="160" spans="1:21" ht="14" customHeight="1">
      <c r="A160" s="8" t="s">
        <v>800</v>
      </c>
      <c r="B160" s="6" t="e">
        <f>_xlfn.XLOOKUP(E160,#REF!,#REF!)</f>
        <v>#REF!</v>
      </c>
      <c r="C160" s="6" t="e">
        <f t="shared" si="2"/>
        <v>#REF!</v>
      </c>
      <c r="D160" s="7" t="s">
        <v>100</v>
      </c>
      <c r="E160" s="8" t="s">
        <v>801</v>
      </c>
      <c r="F160" s="7" t="s">
        <v>96</v>
      </c>
      <c r="G160" s="7" t="s">
        <v>96</v>
      </c>
      <c r="H160" s="7" t="s">
        <v>96</v>
      </c>
      <c r="I160" s="7" t="s">
        <v>96</v>
      </c>
      <c r="J160" s="7" t="s">
        <v>95</v>
      </c>
      <c r="K160" s="7" t="s">
        <v>96</v>
      </c>
      <c r="L160" s="7" t="s">
        <v>96</v>
      </c>
      <c r="M160" s="7" t="s">
        <v>108</v>
      </c>
      <c r="N160" s="7" t="s">
        <v>109</v>
      </c>
      <c r="O160" s="7" t="s">
        <v>197</v>
      </c>
      <c r="P160" s="7" t="s">
        <v>1389</v>
      </c>
      <c r="Q160" s="7" t="s">
        <v>1094</v>
      </c>
      <c r="R160" s="10" t="s">
        <v>1153</v>
      </c>
      <c r="S160" s="11">
        <v>45760</v>
      </c>
      <c r="T160" s="7" t="s">
        <v>1074</v>
      </c>
    </row>
    <row r="161" spans="1:20" ht="15" customHeight="1">
      <c r="A161" s="8" t="s">
        <v>805</v>
      </c>
      <c r="B161" s="6" t="e">
        <f>_xlfn.XLOOKUP(E161,#REF!,#REF!)</f>
        <v>#REF!</v>
      </c>
      <c r="C161" s="6" t="e">
        <f t="shared" si="2"/>
        <v>#REF!</v>
      </c>
      <c r="D161" s="7" t="s">
        <v>100</v>
      </c>
      <c r="E161" s="8" t="s">
        <v>806</v>
      </c>
      <c r="F161" s="7" t="s">
        <v>96</v>
      </c>
      <c r="G161" s="7" t="s">
        <v>96</v>
      </c>
      <c r="H161" s="7" t="s">
        <v>96</v>
      </c>
      <c r="I161" s="7" t="s">
        <v>96</v>
      </c>
      <c r="J161" s="7" t="s">
        <v>95</v>
      </c>
      <c r="K161" s="7" t="s">
        <v>96</v>
      </c>
      <c r="L161" s="7" t="s">
        <v>96</v>
      </c>
      <c r="M161" s="7" t="s">
        <v>108</v>
      </c>
      <c r="N161" s="7" t="s">
        <v>109</v>
      </c>
      <c r="O161" s="7" t="s">
        <v>110</v>
      </c>
      <c r="P161" s="7" t="s">
        <v>1390</v>
      </c>
      <c r="Q161" s="7" t="s">
        <v>1094</v>
      </c>
      <c r="R161" s="10" t="s">
        <v>1154</v>
      </c>
      <c r="S161" s="11">
        <v>45760</v>
      </c>
      <c r="T161" s="7" t="s">
        <v>1074</v>
      </c>
    </row>
    <row r="162" spans="1:20" ht="12" customHeight="1">
      <c r="A162" s="6" t="s">
        <v>810</v>
      </c>
      <c r="B162" s="6" t="e">
        <f>_xlfn.XLOOKUP(E162,#REF!,#REF!)</f>
        <v>#REF!</v>
      </c>
      <c r="C162" s="6" t="e">
        <f t="shared" si="2"/>
        <v>#REF!</v>
      </c>
      <c r="D162" s="7" t="s">
        <v>137</v>
      </c>
      <c r="E162" s="7" t="s">
        <v>811</v>
      </c>
      <c r="F162" s="7" t="s">
        <v>95</v>
      </c>
      <c r="G162" s="7" t="s">
        <v>95</v>
      </c>
      <c r="H162" s="7" t="s">
        <v>95</v>
      </c>
      <c r="I162" s="7" t="s">
        <v>95</v>
      </c>
      <c r="J162" s="7" t="s">
        <v>95</v>
      </c>
      <c r="K162" s="7" t="s">
        <v>95</v>
      </c>
      <c r="L162" s="7" t="s">
        <v>95</v>
      </c>
      <c r="M162" s="7"/>
      <c r="N162" s="7"/>
      <c r="O162" s="7"/>
      <c r="P162" s="7"/>
      <c r="Q162" s="7"/>
      <c r="R162" s="7"/>
      <c r="S162" s="7"/>
      <c r="T162" s="7"/>
    </row>
    <row r="163" spans="1:20" ht="12" customHeight="1">
      <c r="A163" s="6" t="s">
        <v>813</v>
      </c>
      <c r="B163" s="6" t="e">
        <f>_xlfn.XLOOKUP(E163,#REF!,#REF!)</f>
        <v>#REF!</v>
      </c>
      <c r="C163" s="6" t="e">
        <f t="shared" si="2"/>
        <v>#REF!</v>
      </c>
      <c r="D163" s="7" t="s">
        <v>112</v>
      </c>
      <c r="E163" s="7" t="s">
        <v>814</v>
      </c>
      <c r="F163" s="7" t="s">
        <v>95</v>
      </c>
      <c r="G163" s="7" t="s">
        <v>95</v>
      </c>
      <c r="H163" s="7" t="s">
        <v>95</v>
      </c>
      <c r="I163" s="7" t="s">
        <v>95</v>
      </c>
      <c r="J163" s="7" t="s">
        <v>95</v>
      </c>
      <c r="K163" s="7" t="s">
        <v>95</v>
      </c>
      <c r="L163" s="7" t="s">
        <v>95</v>
      </c>
      <c r="M163" s="7"/>
      <c r="N163" s="7"/>
      <c r="O163" s="7"/>
      <c r="P163" s="7"/>
      <c r="Q163" s="7"/>
      <c r="R163" s="7"/>
      <c r="S163" s="7"/>
      <c r="T163" s="7"/>
    </row>
    <row r="164" spans="1:20" ht="15" customHeight="1">
      <c r="A164" s="8" t="s">
        <v>817</v>
      </c>
      <c r="B164" s="6" t="e">
        <f>_xlfn.XLOOKUP(E164,#REF!,#REF!)</f>
        <v>#REF!</v>
      </c>
      <c r="C164" s="6" t="e">
        <f t="shared" si="2"/>
        <v>#REF!</v>
      </c>
      <c r="D164" s="7" t="s">
        <v>100</v>
      </c>
      <c r="E164" s="24" t="s">
        <v>818</v>
      </c>
      <c r="F164" s="7" t="s">
        <v>96</v>
      </c>
      <c r="G164" s="7" t="s">
        <v>96</v>
      </c>
      <c r="H164" s="7" t="s">
        <v>96</v>
      </c>
      <c r="I164" s="7" t="s">
        <v>96</v>
      </c>
      <c r="J164" s="7" t="s">
        <v>95</v>
      </c>
      <c r="K164" s="7" t="s">
        <v>96</v>
      </c>
      <c r="L164" s="7" t="s">
        <v>96</v>
      </c>
      <c r="M164" s="7" t="s">
        <v>108</v>
      </c>
      <c r="N164" s="7" t="s">
        <v>109</v>
      </c>
      <c r="O164" s="7" t="s">
        <v>110</v>
      </c>
      <c r="P164" s="7" t="s">
        <v>1391</v>
      </c>
      <c r="Q164" s="7" t="s">
        <v>1094</v>
      </c>
      <c r="R164" s="10" t="s">
        <v>1155</v>
      </c>
      <c r="S164" s="11">
        <v>45760</v>
      </c>
      <c r="T164" s="7" t="s">
        <v>1074</v>
      </c>
    </row>
    <row r="165" spans="1:20" ht="12" customHeight="1">
      <c r="A165" s="8" t="s">
        <v>822</v>
      </c>
      <c r="B165" s="6" t="e">
        <f>_xlfn.XLOOKUP(E165,#REF!,#REF!)</f>
        <v>#REF!</v>
      </c>
      <c r="C165" s="6" t="e">
        <f t="shared" si="2"/>
        <v>#REF!</v>
      </c>
      <c r="D165" s="7" t="s">
        <v>100</v>
      </c>
      <c r="E165" s="8" t="s">
        <v>823</v>
      </c>
      <c r="F165" s="7" t="s">
        <v>96</v>
      </c>
      <c r="G165" s="7" t="s">
        <v>96</v>
      </c>
      <c r="H165" s="7" t="s">
        <v>96</v>
      </c>
      <c r="I165" s="7" t="s">
        <v>96</v>
      </c>
      <c r="J165" s="7" t="s">
        <v>95</v>
      </c>
      <c r="K165" s="7" t="s">
        <v>95</v>
      </c>
      <c r="L165" s="7" t="s">
        <v>95</v>
      </c>
      <c r="M165" s="7" t="s">
        <v>108</v>
      </c>
      <c r="N165" s="7" t="s">
        <v>109</v>
      </c>
      <c r="O165" s="7" t="s">
        <v>110</v>
      </c>
      <c r="P165" s="7" t="s">
        <v>1392</v>
      </c>
      <c r="Q165" s="7" t="s">
        <v>1094</v>
      </c>
      <c r="R165" s="17" t="s">
        <v>1156</v>
      </c>
      <c r="S165" s="11">
        <v>45693</v>
      </c>
      <c r="T165" s="7"/>
    </row>
    <row r="166" spans="1:20" ht="12" customHeight="1">
      <c r="A166" s="8" t="s">
        <v>825</v>
      </c>
      <c r="B166" s="6" t="e">
        <f>_xlfn.XLOOKUP(E166,#REF!,#REF!)</f>
        <v>#REF!</v>
      </c>
      <c r="C166" s="6" t="e">
        <f t="shared" si="2"/>
        <v>#REF!</v>
      </c>
      <c r="D166" s="7" t="s">
        <v>132</v>
      </c>
      <c r="E166" s="8" t="s">
        <v>826</v>
      </c>
      <c r="F166" s="7" t="s">
        <v>96</v>
      </c>
      <c r="G166" s="7" t="s">
        <v>96</v>
      </c>
      <c r="H166" s="7" t="s">
        <v>96</v>
      </c>
      <c r="I166" s="7" t="s">
        <v>95</v>
      </c>
      <c r="J166" s="7" t="s">
        <v>95</v>
      </c>
      <c r="K166" s="7" t="s">
        <v>95</v>
      </c>
      <c r="L166" s="7" t="s">
        <v>95</v>
      </c>
      <c r="M166" s="7" t="s">
        <v>108</v>
      </c>
      <c r="N166" s="7" t="s">
        <v>109</v>
      </c>
      <c r="O166" s="7" t="s">
        <v>110</v>
      </c>
      <c r="P166" s="7" t="s">
        <v>1393</v>
      </c>
      <c r="Q166" s="7"/>
      <c r="R166" s="7" t="s">
        <v>1245</v>
      </c>
      <c r="S166" s="7"/>
      <c r="T166" s="7"/>
    </row>
    <row r="167" spans="1:20" ht="14" customHeight="1">
      <c r="A167" s="6" t="s">
        <v>829</v>
      </c>
      <c r="B167" s="6" t="e">
        <f>_xlfn.XLOOKUP(E167,#REF!,#REF!)</f>
        <v>#REF!</v>
      </c>
      <c r="C167" s="6" t="e">
        <f t="shared" si="2"/>
        <v>#REF!</v>
      </c>
      <c r="D167" s="7" t="s">
        <v>120</v>
      </c>
      <c r="E167" s="7" t="s">
        <v>830</v>
      </c>
      <c r="F167" s="7" t="s">
        <v>95</v>
      </c>
      <c r="G167" s="7" t="s">
        <v>95</v>
      </c>
      <c r="H167" s="7" t="s">
        <v>95</v>
      </c>
      <c r="I167" s="7" t="s">
        <v>95</v>
      </c>
      <c r="J167" s="7" t="s">
        <v>95</v>
      </c>
      <c r="K167" s="7" t="s">
        <v>95</v>
      </c>
      <c r="L167" s="7" t="s">
        <v>95</v>
      </c>
      <c r="M167" s="7"/>
      <c r="N167" s="7"/>
      <c r="O167" s="7"/>
      <c r="P167" s="7"/>
      <c r="Q167" s="7"/>
      <c r="R167" s="1"/>
      <c r="S167" s="11"/>
      <c r="T167" s="7" t="s">
        <v>1108</v>
      </c>
    </row>
    <row r="168" spans="1:20" ht="12" customHeight="1">
      <c r="A168" s="6" t="s">
        <v>834</v>
      </c>
      <c r="B168" s="6" t="e">
        <f>_xlfn.XLOOKUP(E168,#REF!,#REF!)</f>
        <v>#REF!</v>
      </c>
      <c r="C168" s="6" t="e">
        <f t="shared" si="2"/>
        <v>#REF!</v>
      </c>
      <c r="D168" s="7" t="s">
        <v>100</v>
      </c>
      <c r="E168" s="7" t="s">
        <v>835</v>
      </c>
      <c r="F168" s="7" t="s">
        <v>95</v>
      </c>
      <c r="G168" s="7" t="s">
        <v>95</v>
      </c>
      <c r="H168" s="7" t="s">
        <v>95</v>
      </c>
      <c r="I168" s="7" t="s">
        <v>95</v>
      </c>
      <c r="J168" s="7" t="s">
        <v>95</v>
      </c>
      <c r="K168" s="7" t="s">
        <v>95</v>
      </c>
      <c r="L168" s="7" t="s">
        <v>95</v>
      </c>
      <c r="M168" s="7"/>
      <c r="N168" s="7"/>
      <c r="O168" s="7"/>
      <c r="P168" s="7"/>
      <c r="Q168" s="7"/>
      <c r="R168" s="7"/>
      <c r="S168" s="7"/>
      <c r="T168" s="7"/>
    </row>
    <row r="169" spans="1:20" ht="12" customHeight="1">
      <c r="A169" s="8" t="s">
        <v>838</v>
      </c>
      <c r="B169" s="6" t="e">
        <f>_xlfn.XLOOKUP(E169,#REF!,#REF!)</f>
        <v>#REF!</v>
      </c>
      <c r="C169" s="6" t="e">
        <f t="shared" si="2"/>
        <v>#REF!</v>
      </c>
      <c r="D169" s="7" t="s">
        <v>132</v>
      </c>
      <c r="E169" s="8" t="s">
        <v>839</v>
      </c>
      <c r="F169" s="7" t="s">
        <v>96</v>
      </c>
      <c r="G169" s="7" t="s">
        <v>96</v>
      </c>
      <c r="H169" s="7" t="s">
        <v>95</v>
      </c>
      <c r="I169" s="7" t="s">
        <v>95</v>
      </c>
      <c r="J169" s="7" t="s">
        <v>95</v>
      </c>
      <c r="K169" s="7" t="s">
        <v>95</v>
      </c>
      <c r="L169" s="7" t="s">
        <v>95</v>
      </c>
      <c r="M169" s="7" t="s">
        <v>106</v>
      </c>
      <c r="N169" s="7" t="s">
        <v>106</v>
      </c>
      <c r="O169" s="7" t="s">
        <v>197</v>
      </c>
      <c r="P169" s="7" t="s">
        <v>1394</v>
      </c>
      <c r="Q169" s="7"/>
      <c r="R169" s="7" t="s">
        <v>1246</v>
      </c>
      <c r="S169" s="11">
        <v>45744</v>
      </c>
      <c r="T169" s="7"/>
    </row>
    <row r="170" spans="1:20" ht="12" customHeight="1">
      <c r="A170" s="6" t="s">
        <v>840</v>
      </c>
      <c r="B170" s="6" t="e">
        <f>_xlfn.XLOOKUP(E170,#REF!,#REF!)</f>
        <v>#REF!</v>
      </c>
      <c r="C170" s="6" t="e">
        <f t="shared" si="2"/>
        <v>#REF!</v>
      </c>
      <c r="D170" s="7" t="s">
        <v>112</v>
      </c>
      <c r="E170" s="7" t="s">
        <v>841</v>
      </c>
      <c r="F170" s="7" t="s">
        <v>95</v>
      </c>
      <c r="G170" s="7" t="s">
        <v>95</v>
      </c>
      <c r="H170" s="7" t="s">
        <v>95</v>
      </c>
      <c r="I170" s="7" t="s">
        <v>95</v>
      </c>
      <c r="J170" s="7" t="s">
        <v>95</v>
      </c>
      <c r="K170" s="7" t="s">
        <v>95</v>
      </c>
      <c r="L170" s="7" t="s">
        <v>95</v>
      </c>
      <c r="M170" s="7"/>
      <c r="N170" s="7"/>
      <c r="O170" s="7"/>
      <c r="P170" s="25" t="s">
        <v>1395</v>
      </c>
      <c r="Q170" s="7" t="s">
        <v>1094</v>
      </c>
      <c r="R170" s="23"/>
      <c r="S170" s="11"/>
      <c r="T170" s="7"/>
    </row>
    <row r="171" spans="1:20" ht="12" customHeight="1">
      <c r="A171" s="8" t="s">
        <v>845</v>
      </c>
      <c r="B171" s="6" t="e">
        <f>_xlfn.XLOOKUP(E171,#REF!,#REF!)</f>
        <v>#REF!</v>
      </c>
      <c r="C171" s="6" t="e">
        <f t="shared" si="2"/>
        <v>#REF!</v>
      </c>
      <c r="D171" s="7" t="s">
        <v>132</v>
      </c>
      <c r="E171" s="8" t="s">
        <v>846</v>
      </c>
      <c r="F171" s="7" t="s">
        <v>96</v>
      </c>
      <c r="G171" s="7" t="s">
        <v>96</v>
      </c>
      <c r="H171" s="7" t="s">
        <v>96</v>
      </c>
      <c r="I171" s="7" t="s">
        <v>95</v>
      </c>
      <c r="J171" s="7" t="s">
        <v>96</v>
      </c>
      <c r="K171" s="7" t="s">
        <v>95</v>
      </c>
      <c r="L171" s="7" t="s">
        <v>95</v>
      </c>
      <c r="M171" s="7" t="s">
        <v>108</v>
      </c>
      <c r="N171" s="7" t="s">
        <v>109</v>
      </c>
      <c r="O171" s="7" t="s">
        <v>197</v>
      </c>
      <c r="P171" s="7" t="s">
        <v>1396</v>
      </c>
      <c r="Q171" s="7"/>
      <c r="R171" s="7" t="s">
        <v>1247</v>
      </c>
      <c r="S171" s="7" t="s">
        <v>1248</v>
      </c>
      <c r="T171" s="7"/>
    </row>
    <row r="172" spans="1:20" ht="12" customHeight="1">
      <c r="A172" s="8" t="s">
        <v>849</v>
      </c>
      <c r="B172" s="6" t="e">
        <f>_xlfn.XLOOKUP(E172,#REF!,#REF!)</f>
        <v>#REF!</v>
      </c>
      <c r="C172" s="6" t="e">
        <f t="shared" si="2"/>
        <v>#REF!</v>
      </c>
      <c r="D172" s="7" t="s">
        <v>100</v>
      </c>
      <c r="E172" s="8" t="s">
        <v>850</v>
      </c>
      <c r="F172" s="7" t="s">
        <v>96</v>
      </c>
      <c r="G172" s="7" t="s">
        <v>96</v>
      </c>
      <c r="H172" s="7" t="s">
        <v>95</v>
      </c>
      <c r="I172" s="7" t="s">
        <v>95</v>
      </c>
      <c r="J172" s="7" t="s">
        <v>95</v>
      </c>
      <c r="K172" s="7" t="s">
        <v>95</v>
      </c>
      <c r="L172" s="7" t="s">
        <v>95</v>
      </c>
      <c r="M172" s="7" t="s">
        <v>108</v>
      </c>
      <c r="N172" s="7" t="s">
        <v>109</v>
      </c>
      <c r="O172" s="7" t="s">
        <v>110</v>
      </c>
      <c r="P172" s="7" t="s">
        <v>1397</v>
      </c>
      <c r="Q172" s="7" t="s">
        <v>1094</v>
      </c>
      <c r="R172" s="17" t="s">
        <v>1157</v>
      </c>
      <c r="S172" s="11">
        <v>45754</v>
      </c>
      <c r="T172" s="7"/>
    </row>
    <row r="173" spans="1:20" ht="12" customHeight="1">
      <c r="A173" s="8" t="s">
        <v>854</v>
      </c>
      <c r="B173" s="6" t="e">
        <f>_xlfn.XLOOKUP(E173,#REF!,#REF!)</f>
        <v>#REF!</v>
      </c>
      <c r="C173" s="6" t="e">
        <f t="shared" si="2"/>
        <v>#REF!</v>
      </c>
      <c r="D173" s="7" t="s">
        <v>132</v>
      </c>
      <c r="E173" s="8" t="s">
        <v>855</v>
      </c>
      <c r="F173" s="7" t="s">
        <v>96</v>
      </c>
      <c r="G173" s="7" t="s">
        <v>95</v>
      </c>
      <c r="H173" s="7" t="s">
        <v>95</v>
      </c>
      <c r="I173" s="7" t="s">
        <v>95</v>
      </c>
      <c r="J173" s="7" t="s">
        <v>95</v>
      </c>
      <c r="K173" s="7" t="s">
        <v>95</v>
      </c>
      <c r="L173" s="7" t="s">
        <v>96</v>
      </c>
      <c r="M173" s="7" t="s">
        <v>198</v>
      </c>
      <c r="N173" s="7" t="s">
        <v>198</v>
      </c>
      <c r="O173" s="7" t="s">
        <v>203</v>
      </c>
      <c r="P173" s="7" t="s">
        <v>1398</v>
      </c>
      <c r="Q173" s="7"/>
      <c r="R173" s="7" t="s">
        <v>1249</v>
      </c>
      <c r="S173" s="11">
        <v>45755</v>
      </c>
      <c r="T173" s="7"/>
    </row>
    <row r="174" spans="1:20" ht="12" customHeight="1">
      <c r="A174" s="6" t="s">
        <v>856</v>
      </c>
      <c r="B174" s="6" t="e">
        <f>_xlfn.XLOOKUP(E174,#REF!,#REF!)</f>
        <v>#REF!</v>
      </c>
      <c r="C174" s="6" t="e">
        <f t="shared" si="2"/>
        <v>#REF!</v>
      </c>
      <c r="D174" s="7" t="s">
        <v>132</v>
      </c>
      <c r="E174" s="7" t="s">
        <v>857</v>
      </c>
      <c r="F174" s="7" t="s">
        <v>95</v>
      </c>
      <c r="G174" s="7" t="s">
        <v>95</v>
      </c>
      <c r="H174" s="7" t="s">
        <v>95</v>
      </c>
      <c r="I174" s="7" t="s">
        <v>95</v>
      </c>
      <c r="J174" s="7" t="s">
        <v>95</v>
      </c>
      <c r="K174" s="7" t="s">
        <v>95</v>
      </c>
      <c r="L174" s="7" t="s">
        <v>95</v>
      </c>
      <c r="M174" s="7"/>
      <c r="N174" s="7"/>
      <c r="O174" s="7"/>
      <c r="P174" s="7"/>
      <c r="Q174" s="7"/>
      <c r="R174" s="7"/>
      <c r="S174" s="7"/>
      <c r="T174" s="7"/>
    </row>
    <row r="175" spans="1:20" ht="12" customHeight="1">
      <c r="A175" s="8" t="s">
        <v>861</v>
      </c>
      <c r="B175" s="6" t="e">
        <f>_xlfn.XLOOKUP(E175,#REF!,#REF!)</f>
        <v>#REF!</v>
      </c>
      <c r="C175" s="6" t="e">
        <f t="shared" si="2"/>
        <v>#REF!</v>
      </c>
      <c r="D175" s="7" t="s">
        <v>120</v>
      </c>
      <c r="E175" s="8" t="s">
        <v>862</v>
      </c>
      <c r="F175" s="7" t="s">
        <v>96</v>
      </c>
      <c r="G175" s="7" t="s">
        <v>96</v>
      </c>
      <c r="H175" s="7" t="s">
        <v>96</v>
      </c>
      <c r="I175" s="7" t="s">
        <v>95</v>
      </c>
      <c r="J175" s="7" t="s">
        <v>95</v>
      </c>
      <c r="K175" s="7" t="s">
        <v>95</v>
      </c>
      <c r="L175" s="7" t="s">
        <v>96</v>
      </c>
      <c r="M175" s="7" t="s">
        <v>108</v>
      </c>
      <c r="N175" s="7" t="s">
        <v>109</v>
      </c>
      <c r="O175" s="7" t="s">
        <v>110</v>
      </c>
      <c r="P175" s="7" t="s">
        <v>1395</v>
      </c>
      <c r="Q175" s="7" t="s">
        <v>1094</v>
      </c>
      <c r="R175" s="17" t="s">
        <v>1070</v>
      </c>
      <c r="S175" s="11">
        <v>45693</v>
      </c>
      <c r="T175" s="7"/>
    </row>
    <row r="176" spans="1:20" ht="12" customHeight="1">
      <c r="A176" s="6" t="s">
        <v>866</v>
      </c>
      <c r="B176" s="6" t="e">
        <f>_xlfn.XLOOKUP(E176,#REF!,#REF!)</f>
        <v>#REF!</v>
      </c>
      <c r="C176" s="6" t="e">
        <f t="shared" si="2"/>
        <v>#REF!</v>
      </c>
      <c r="D176" s="7" t="s">
        <v>137</v>
      </c>
      <c r="E176" s="7" t="s">
        <v>867</v>
      </c>
      <c r="F176" s="7" t="s">
        <v>95</v>
      </c>
      <c r="G176" s="7" t="s">
        <v>95</v>
      </c>
      <c r="H176" s="7" t="s">
        <v>95</v>
      </c>
      <c r="I176" s="7" t="s">
        <v>95</v>
      </c>
      <c r="J176" s="7" t="s">
        <v>95</v>
      </c>
      <c r="K176" s="7" t="s">
        <v>95</v>
      </c>
      <c r="L176" s="7" t="s">
        <v>95</v>
      </c>
      <c r="M176" s="7"/>
      <c r="N176" s="7"/>
      <c r="O176" s="7"/>
      <c r="P176" s="7"/>
      <c r="Q176" s="7"/>
      <c r="R176" s="1"/>
      <c r="S176" s="11"/>
      <c r="T176" s="7"/>
    </row>
    <row r="177" spans="1:20" ht="12" customHeight="1">
      <c r="A177" s="8" t="s">
        <v>869</v>
      </c>
      <c r="B177" s="6" t="e">
        <f>_xlfn.XLOOKUP(E177,#REF!,#REF!)</f>
        <v>#REF!</v>
      </c>
      <c r="C177" s="6" t="e">
        <f t="shared" si="2"/>
        <v>#REF!</v>
      </c>
      <c r="D177" s="7" t="s">
        <v>100</v>
      </c>
      <c r="E177" s="8" t="s">
        <v>870</v>
      </c>
      <c r="F177" s="7" t="s">
        <v>96</v>
      </c>
      <c r="G177" s="7" t="s">
        <v>96</v>
      </c>
      <c r="H177" s="7" t="s">
        <v>96</v>
      </c>
      <c r="I177" s="7" t="s">
        <v>96</v>
      </c>
      <c r="J177" s="7" t="s">
        <v>95</v>
      </c>
      <c r="K177" s="7" t="s">
        <v>96</v>
      </c>
      <c r="L177" s="7" t="s">
        <v>96</v>
      </c>
      <c r="M177" s="7" t="s">
        <v>108</v>
      </c>
      <c r="N177" s="7" t="s">
        <v>109</v>
      </c>
      <c r="O177" s="7" t="s">
        <v>110</v>
      </c>
      <c r="P177" s="9" t="s">
        <v>1399</v>
      </c>
      <c r="Q177" s="7" t="s">
        <v>1094</v>
      </c>
      <c r="R177" s="10" t="s">
        <v>1158</v>
      </c>
      <c r="S177" s="11">
        <v>45760</v>
      </c>
      <c r="T177" s="7" t="s">
        <v>1074</v>
      </c>
    </row>
    <row r="178" spans="1:20" ht="12" customHeight="1">
      <c r="A178" s="8" t="s">
        <v>874</v>
      </c>
      <c r="B178" s="6" t="e">
        <f>_xlfn.XLOOKUP(E178,#REF!,#REF!)</f>
        <v>#REF!</v>
      </c>
      <c r="C178" s="6" t="e">
        <f t="shared" si="2"/>
        <v>#REF!</v>
      </c>
      <c r="D178" s="7" t="s">
        <v>100</v>
      </c>
      <c r="E178" s="8" t="s">
        <v>875</v>
      </c>
      <c r="F178" s="7" t="s">
        <v>96</v>
      </c>
      <c r="G178" s="7" t="s">
        <v>96</v>
      </c>
      <c r="H178" s="7" t="s">
        <v>96</v>
      </c>
      <c r="I178" s="7" t="s">
        <v>96</v>
      </c>
      <c r="J178" s="7" t="s">
        <v>95</v>
      </c>
      <c r="K178" s="7" t="s">
        <v>96</v>
      </c>
      <c r="L178" s="7" t="s">
        <v>96</v>
      </c>
      <c r="M178" s="7" t="s">
        <v>108</v>
      </c>
      <c r="N178" s="7" t="s">
        <v>109</v>
      </c>
      <c r="O178" s="7" t="s">
        <v>110</v>
      </c>
      <c r="P178" s="7" t="s">
        <v>1400</v>
      </c>
      <c r="Q178" s="7" t="s">
        <v>1094</v>
      </c>
      <c r="R178" s="10" t="s">
        <v>1159</v>
      </c>
      <c r="S178" s="11">
        <v>45760</v>
      </c>
      <c r="T178" s="7" t="s">
        <v>1074</v>
      </c>
    </row>
    <row r="179" spans="1:20" ht="12" customHeight="1">
      <c r="A179" s="8" t="s">
        <v>879</v>
      </c>
      <c r="B179" s="6" t="e">
        <f>_xlfn.XLOOKUP(E179,#REF!,#REF!)</f>
        <v>#REF!</v>
      </c>
      <c r="C179" s="6" t="e">
        <f t="shared" si="2"/>
        <v>#REF!</v>
      </c>
      <c r="D179" s="7" t="s">
        <v>120</v>
      </c>
      <c r="E179" s="8" t="s">
        <v>880</v>
      </c>
      <c r="F179" s="7" t="s">
        <v>96</v>
      </c>
      <c r="G179" s="7" t="s">
        <v>96</v>
      </c>
      <c r="H179" s="7" t="s">
        <v>95</v>
      </c>
      <c r="I179" s="7" t="s">
        <v>95</v>
      </c>
      <c r="J179" s="7" t="s">
        <v>95</v>
      </c>
      <c r="K179" s="7" t="s">
        <v>95</v>
      </c>
      <c r="L179" s="7" t="s">
        <v>95</v>
      </c>
      <c r="M179" s="7" t="s">
        <v>198</v>
      </c>
      <c r="N179" s="7" t="s">
        <v>198</v>
      </c>
      <c r="O179" s="7" t="s">
        <v>203</v>
      </c>
      <c r="P179" s="7" t="s">
        <v>1401</v>
      </c>
      <c r="Q179" s="7"/>
      <c r="R179" s="7" t="s">
        <v>1097</v>
      </c>
      <c r="S179" s="7"/>
      <c r="T179" s="7"/>
    </row>
    <row r="180" spans="1:20" ht="12" customHeight="1">
      <c r="A180" s="6" t="s">
        <v>884</v>
      </c>
      <c r="B180" s="6" t="e">
        <f>_xlfn.XLOOKUP(E180,#REF!,#REF!)</f>
        <v>#REF!</v>
      </c>
      <c r="C180" s="6" t="e">
        <f t="shared" si="2"/>
        <v>#REF!</v>
      </c>
      <c r="D180" s="7" t="s">
        <v>132</v>
      </c>
      <c r="E180" s="7" t="s">
        <v>885</v>
      </c>
      <c r="F180" s="7" t="s">
        <v>95</v>
      </c>
      <c r="G180" s="7" t="s">
        <v>95</v>
      </c>
      <c r="H180" s="7" t="s">
        <v>95</v>
      </c>
      <c r="I180" s="7" t="s">
        <v>95</v>
      </c>
      <c r="J180" s="7" t="s">
        <v>95</v>
      </c>
      <c r="K180" s="7" t="s">
        <v>95</v>
      </c>
      <c r="L180" s="7" t="s">
        <v>95</v>
      </c>
      <c r="M180" s="7"/>
      <c r="N180" s="7"/>
      <c r="O180" s="7"/>
      <c r="P180" s="7"/>
      <c r="Q180" s="7"/>
      <c r="R180" s="7"/>
      <c r="S180" s="7"/>
      <c r="T180" s="7"/>
    </row>
    <row r="181" spans="1:20" ht="12" customHeight="1">
      <c r="A181" s="8" t="s">
        <v>888</v>
      </c>
      <c r="B181" s="6" t="e">
        <f>_xlfn.XLOOKUP(E181,#REF!,#REF!)</f>
        <v>#REF!</v>
      </c>
      <c r="C181" s="6" t="e">
        <f t="shared" si="2"/>
        <v>#REF!</v>
      </c>
      <c r="D181" s="7" t="s">
        <v>132</v>
      </c>
      <c r="E181" s="8" t="s">
        <v>889</v>
      </c>
      <c r="F181" s="7" t="s">
        <v>96</v>
      </c>
      <c r="G181" s="7" t="s">
        <v>96</v>
      </c>
      <c r="H181" s="7" t="s">
        <v>96</v>
      </c>
      <c r="I181" s="7" t="s">
        <v>95</v>
      </c>
      <c r="J181" s="7" t="s">
        <v>96</v>
      </c>
      <c r="K181" s="7" t="s">
        <v>95</v>
      </c>
      <c r="L181" s="7" t="s">
        <v>96</v>
      </c>
      <c r="M181" s="7" t="s">
        <v>108</v>
      </c>
      <c r="N181" s="7" t="s">
        <v>109</v>
      </c>
      <c r="O181" s="7" t="s">
        <v>110</v>
      </c>
      <c r="P181" s="9" t="s">
        <v>1402</v>
      </c>
      <c r="Q181" s="7" t="s">
        <v>1094</v>
      </c>
      <c r="R181" s="23" t="s">
        <v>1250</v>
      </c>
      <c r="S181" s="11">
        <v>45754</v>
      </c>
      <c r="T181" s="7" t="s">
        <v>1403</v>
      </c>
    </row>
    <row r="182" spans="1:20" ht="11" customHeight="1">
      <c r="A182" s="6" t="s">
        <v>892</v>
      </c>
      <c r="B182" s="6" t="e">
        <f>_xlfn.XLOOKUP(E182,#REF!,#REF!)</f>
        <v>#REF!</v>
      </c>
      <c r="C182" s="6" t="e">
        <f t="shared" si="2"/>
        <v>#REF!</v>
      </c>
      <c r="D182" s="7" t="s">
        <v>132</v>
      </c>
      <c r="E182" s="7" t="s">
        <v>893</v>
      </c>
      <c r="F182" s="7" t="s">
        <v>95</v>
      </c>
      <c r="G182" s="7" t="s">
        <v>95</v>
      </c>
      <c r="H182" s="7" t="s">
        <v>95</v>
      </c>
      <c r="I182" s="7" t="s">
        <v>95</v>
      </c>
      <c r="J182" s="7" t="s">
        <v>95</v>
      </c>
      <c r="K182" s="7" t="s">
        <v>95</v>
      </c>
      <c r="L182" s="7" t="s">
        <v>95</v>
      </c>
      <c r="M182" s="7"/>
      <c r="N182" s="7"/>
      <c r="O182" s="7"/>
      <c r="P182" s="7"/>
      <c r="Q182" s="7"/>
      <c r="R182" s="7"/>
      <c r="S182" s="7"/>
      <c r="T182" s="7"/>
    </row>
    <row r="183" spans="1:20" ht="13.25" customHeight="1">
      <c r="A183" s="8" t="s">
        <v>896</v>
      </c>
      <c r="B183" s="6" t="e">
        <f>_xlfn.XLOOKUP(E183,#REF!,#REF!)</f>
        <v>#REF!</v>
      </c>
      <c r="C183" s="6" t="e">
        <f t="shared" si="2"/>
        <v>#REF!</v>
      </c>
      <c r="D183" s="7" t="s">
        <v>100</v>
      </c>
      <c r="E183" s="8" t="s">
        <v>897</v>
      </c>
      <c r="F183" s="7" t="s">
        <v>96</v>
      </c>
      <c r="G183" s="7" t="s">
        <v>96</v>
      </c>
      <c r="H183" s="7" t="s">
        <v>96</v>
      </c>
      <c r="I183" s="7" t="s">
        <v>96</v>
      </c>
      <c r="J183" s="7" t="s">
        <v>95</v>
      </c>
      <c r="K183" s="7" t="s">
        <v>96</v>
      </c>
      <c r="L183" s="7" t="s">
        <v>96</v>
      </c>
      <c r="M183" s="7" t="s">
        <v>108</v>
      </c>
      <c r="N183" s="7" t="s">
        <v>109</v>
      </c>
      <c r="O183" s="7" t="s">
        <v>110</v>
      </c>
      <c r="P183" s="7" t="s">
        <v>1404</v>
      </c>
      <c r="Q183" s="7" t="s">
        <v>1094</v>
      </c>
      <c r="R183" s="10" t="s">
        <v>1123</v>
      </c>
      <c r="S183" s="11">
        <v>45760</v>
      </c>
      <c r="T183" s="7" t="s">
        <v>1074</v>
      </c>
    </row>
    <row r="184" spans="1:20" ht="11" customHeight="1">
      <c r="A184" s="8" t="s">
        <v>901</v>
      </c>
      <c r="B184" s="6" t="e">
        <f>_xlfn.XLOOKUP(E184,#REF!,#REF!)</f>
        <v>#REF!</v>
      </c>
      <c r="C184" s="6" t="e">
        <f t="shared" si="2"/>
        <v>#REF!</v>
      </c>
      <c r="D184" s="7" t="s">
        <v>91</v>
      </c>
      <c r="E184" s="8" t="s">
        <v>902</v>
      </c>
      <c r="F184" s="7" t="s">
        <v>96</v>
      </c>
      <c r="G184" s="7" t="s">
        <v>96</v>
      </c>
      <c r="H184" s="7" t="s">
        <v>95</v>
      </c>
      <c r="I184" s="7" t="s">
        <v>95</v>
      </c>
      <c r="J184" s="7" t="s">
        <v>95</v>
      </c>
      <c r="K184" s="7" t="s">
        <v>95</v>
      </c>
      <c r="L184" s="7" t="s">
        <v>95</v>
      </c>
      <c r="M184" s="7" t="s">
        <v>198</v>
      </c>
      <c r="N184" s="7" t="s">
        <v>148</v>
      </c>
      <c r="O184" s="7" t="s">
        <v>149</v>
      </c>
      <c r="P184" s="7" t="s">
        <v>1405</v>
      </c>
      <c r="Q184" s="7" t="s">
        <v>1094</v>
      </c>
      <c r="R184" s="12" t="s">
        <v>1227</v>
      </c>
      <c r="S184" s="11">
        <v>45694</v>
      </c>
      <c r="T184" s="7" t="s">
        <v>1226</v>
      </c>
    </row>
    <row r="185" spans="1:20" ht="12" customHeight="1">
      <c r="A185" s="6" t="s">
        <v>906</v>
      </c>
      <c r="B185" s="6" t="e">
        <f>_xlfn.XLOOKUP(E185,#REF!,#REF!)</f>
        <v>#REF!</v>
      </c>
      <c r="C185" s="6" t="e">
        <f t="shared" si="2"/>
        <v>#REF!</v>
      </c>
      <c r="D185" s="7" t="s">
        <v>137</v>
      </c>
      <c r="E185" s="7" t="s">
        <v>907</v>
      </c>
      <c r="F185" s="7" t="s">
        <v>95</v>
      </c>
      <c r="G185" s="7" t="s">
        <v>95</v>
      </c>
      <c r="H185" s="7" t="s">
        <v>95</v>
      </c>
      <c r="I185" s="7" t="s">
        <v>95</v>
      </c>
      <c r="J185" s="7" t="s">
        <v>95</v>
      </c>
      <c r="K185" s="7" t="s">
        <v>95</v>
      </c>
      <c r="L185" s="7" t="s">
        <v>95</v>
      </c>
      <c r="M185" s="7"/>
      <c r="N185" s="7"/>
      <c r="O185" s="7"/>
      <c r="P185" s="7"/>
      <c r="Q185" s="7"/>
      <c r="R185" s="7"/>
      <c r="S185" s="7"/>
      <c r="T185" s="7"/>
    </row>
    <row r="186" spans="1:20" ht="12" customHeight="1">
      <c r="A186" s="6" t="s">
        <v>910</v>
      </c>
      <c r="B186" s="6" t="e">
        <f>_xlfn.XLOOKUP(E186,#REF!,#REF!)</f>
        <v>#REF!</v>
      </c>
      <c r="C186" s="6" t="e">
        <f t="shared" si="2"/>
        <v>#REF!</v>
      </c>
      <c r="D186" s="7" t="s">
        <v>137</v>
      </c>
      <c r="E186" s="7" t="s">
        <v>911</v>
      </c>
      <c r="F186" s="7" t="s">
        <v>95</v>
      </c>
      <c r="G186" s="7" t="s">
        <v>95</v>
      </c>
      <c r="H186" s="7" t="s">
        <v>95</v>
      </c>
      <c r="I186" s="7" t="s">
        <v>95</v>
      </c>
      <c r="J186" s="7" t="s">
        <v>95</v>
      </c>
      <c r="K186" s="7" t="s">
        <v>95</v>
      </c>
      <c r="L186" s="7" t="s">
        <v>95</v>
      </c>
      <c r="M186" s="7"/>
      <c r="N186" s="7"/>
      <c r="O186" s="7"/>
      <c r="P186" s="7"/>
      <c r="Q186" s="7"/>
      <c r="R186" s="1"/>
      <c r="S186" s="11"/>
      <c r="T186" s="7"/>
    </row>
    <row r="187" spans="1:20" ht="12" customHeight="1">
      <c r="A187" s="6" t="s">
        <v>915</v>
      </c>
      <c r="B187" s="6" t="e">
        <f>_xlfn.XLOOKUP(E187,#REF!,#REF!)</f>
        <v>#REF!</v>
      </c>
      <c r="C187" s="6" t="e">
        <f t="shared" si="2"/>
        <v>#REF!</v>
      </c>
      <c r="D187" s="7" t="s">
        <v>137</v>
      </c>
      <c r="E187" s="7" t="s">
        <v>916</v>
      </c>
      <c r="F187" s="7" t="s">
        <v>95</v>
      </c>
      <c r="G187" s="7" t="s">
        <v>95</v>
      </c>
      <c r="H187" s="7" t="s">
        <v>95</v>
      </c>
      <c r="I187" s="7" t="s">
        <v>95</v>
      </c>
      <c r="J187" s="7" t="s">
        <v>95</v>
      </c>
      <c r="K187" s="7" t="s">
        <v>95</v>
      </c>
      <c r="L187" s="7" t="s">
        <v>95</v>
      </c>
      <c r="M187" s="7"/>
      <c r="N187" s="7"/>
      <c r="O187" s="7"/>
      <c r="P187" s="7"/>
      <c r="Q187" s="7"/>
      <c r="R187" s="1"/>
      <c r="S187" s="11"/>
      <c r="T187" s="7"/>
    </row>
    <row r="188" spans="1:20" ht="12" customHeight="1">
      <c r="A188" s="6" t="s">
        <v>918</v>
      </c>
      <c r="B188" s="6" t="e">
        <f>_xlfn.XLOOKUP(E188,#REF!,#REF!)</f>
        <v>#REF!</v>
      </c>
      <c r="C188" s="6" t="e">
        <f t="shared" si="2"/>
        <v>#REF!</v>
      </c>
      <c r="D188" s="7" t="s">
        <v>137</v>
      </c>
      <c r="E188" s="7" t="s">
        <v>919</v>
      </c>
      <c r="F188" s="7" t="s">
        <v>95</v>
      </c>
      <c r="G188" s="7" t="s">
        <v>95</v>
      </c>
      <c r="H188" s="7" t="s">
        <v>95</v>
      </c>
      <c r="I188" s="7" t="s">
        <v>95</v>
      </c>
      <c r="J188" s="7" t="s">
        <v>95</v>
      </c>
      <c r="K188" s="7" t="s">
        <v>95</v>
      </c>
      <c r="L188" s="7" t="s">
        <v>95</v>
      </c>
      <c r="M188" s="7"/>
      <c r="N188" s="7"/>
      <c r="O188" s="7"/>
      <c r="P188" s="7"/>
      <c r="Q188" s="7"/>
      <c r="R188" s="1"/>
      <c r="S188" s="11"/>
      <c r="T188" s="7"/>
    </row>
    <row r="189" spans="1:20" ht="12" customHeight="1">
      <c r="A189" s="8" t="s">
        <v>922</v>
      </c>
      <c r="B189" s="6" t="e">
        <f>_xlfn.XLOOKUP(E189,#REF!,#REF!)</f>
        <v>#REF!</v>
      </c>
      <c r="C189" s="6" t="e">
        <f t="shared" si="2"/>
        <v>#REF!</v>
      </c>
      <c r="D189" s="7" t="s">
        <v>132</v>
      </c>
      <c r="E189" s="8" t="s">
        <v>923</v>
      </c>
      <c r="F189" s="7" t="s">
        <v>96</v>
      </c>
      <c r="G189" s="7" t="s">
        <v>95</v>
      </c>
      <c r="H189" s="7" t="s">
        <v>96</v>
      </c>
      <c r="I189" s="7" t="s">
        <v>95</v>
      </c>
      <c r="J189" s="7" t="s">
        <v>95</v>
      </c>
      <c r="K189" s="7" t="s">
        <v>95</v>
      </c>
      <c r="L189" s="7" t="s">
        <v>96</v>
      </c>
      <c r="M189" s="7" t="s">
        <v>106</v>
      </c>
      <c r="N189" s="7" t="s">
        <v>106</v>
      </c>
      <c r="O189" s="7" t="s">
        <v>149</v>
      </c>
      <c r="P189" s="7" t="s">
        <v>1406</v>
      </c>
      <c r="Q189" s="7"/>
      <c r="R189" s="7" t="s">
        <v>1251</v>
      </c>
      <c r="S189" s="11">
        <v>45744</v>
      </c>
      <c r="T189" s="7" t="s">
        <v>1407</v>
      </c>
    </row>
    <row r="190" spans="1:20" ht="12" customHeight="1">
      <c r="A190" s="8" t="s">
        <v>925</v>
      </c>
      <c r="B190" s="6" t="e">
        <f>_xlfn.XLOOKUP(E190,#REF!,#REF!)</f>
        <v>#REF!</v>
      </c>
      <c r="C190" s="6" t="e">
        <f t="shared" si="2"/>
        <v>#REF!</v>
      </c>
      <c r="D190" s="7" t="s">
        <v>137</v>
      </c>
      <c r="E190" s="8" t="s">
        <v>926</v>
      </c>
      <c r="F190" s="7" t="s">
        <v>96</v>
      </c>
      <c r="G190" s="7" t="s">
        <v>95</v>
      </c>
      <c r="H190" s="7" t="s">
        <v>95</v>
      </c>
      <c r="I190" s="7" t="s">
        <v>95</v>
      </c>
      <c r="J190" s="7" t="s">
        <v>95</v>
      </c>
      <c r="K190" s="7" t="s">
        <v>95</v>
      </c>
      <c r="L190" s="7" t="s">
        <v>96</v>
      </c>
      <c r="M190" s="7" t="s">
        <v>198</v>
      </c>
      <c r="N190" s="7" t="s">
        <v>198</v>
      </c>
      <c r="O190" s="7" t="s">
        <v>203</v>
      </c>
      <c r="P190" s="7" t="s">
        <v>1408</v>
      </c>
      <c r="Q190" s="7"/>
      <c r="R190" s="7" t="s">
        <v>1195</v>
      </c>
      <c r="S190" s="11">
        <v>45755</v>
      </c>
      <c r="T190" s="7"/>
    </row>
    <row r="191" spans="1:20" ht="13.25" customHeight="1">
      <c r="A191" s="8" t="s">
        <v>928</v>
      </c>
      <c r="B191" s="6" t="e">
        <f>_xlfn.XLOOKUP(E191,#REF!,#REF!)</f>
        <v>#REF!</v>
      </c>
      <c r="C191" s="6" t="e">
        <f t="shared" si="2"/>
        <v>#REF!</v>
      </c>
      <c r="D191" s="7" t="s">
        <v>100</v>
      </c>
      <c r="E191" s="8" t="s">
        <v>929</v>
      </c>
      <c r="F191" s="7" t="s">
        <v>96</v>
      </c>
      <c r="G191" s="7" t="s">
        <v>96</v>
      </c>
      <c r="H191" s="7" t="s">
        <v>96</v>
      </c>
      <c r="I191" s="7" t="s">
        <v>96</v>
      </c>
      <c r="J191" s="7" t="s">
        <v>95</v>
      </c>
      <c r="K191" s="7" t="s">
        <v>96</v>
      </c>
      <c r="L191" s="7" t="s">
        <v>96</v>
      </c>
      <c r="M191" s="7" t="s">
        <v>108</v>
      </c>
      <c r="N191" s="7" t="s">
        <v>109</v>
      </c>
      <c r="O191" s="7" t="s">
        <v>110</v>
      </c>
      <c r="P191" s="7" t="s">
        <v>1409</v>
      </c>
      <c r="Q191" s="7" t="s">
        <v>1094</v>
      </c>
      <c r="R191" s="10" t="s">
        <v>1160</v>
      </c>
      <c r="S191" s="11">
        <v>45693</v>
      </c>
      <c r="T191" s="7" t="s">
        <v>1161</v>
      </c>
    </row>
    <row r="192" spans="1:20" ht="13.25" customHeight="1">
      <c r="A192" s="8" t="s">
        <v>932</v>
      </c>
      <c r="B192" s="6" t="e">
        <f>_xlfn.XLOOKUP(E192,#REF!,#REF!)</f>
        <v>#REF!</v>
      </c>
      <c r="C192" s="6" t="e">
        <f t="shared" si="2"/>
        <v>#REF!</v>
      </c>
      <c r="D192" s="7" t="s">
        <v>100</v>
      </c>
      <c r="E192" s="8" t="s">
        <v>933</v>
      </c>
      <c r="F192" s="7" t="s">
        <v>96</v>
      </c>
      <c r="G192" s="7" t="s">
        <v>95</v>
      </c>
      <c r="H192" s="7" t="s">
        <v>96</v>
      </c>
      <c r="I192" s="7" t="s">
        <v>96</v>
      </c>
      <c r="J192" s="7" t="s">
        <v>95</v>
      </c>
      <c r="K192" s="7" t="s">
        <v>95</v>
      </c>
      <c r="L192" s="7" t="s">
        <v>96</v>
      </c>
      <c r="M192" s="7" t="s">
        <v>108</v>
      </c>
      <c r="N192" s="7" t="s">
        <v>109</v>
      </c>
      <c r="O192" s="7" t="s">
        <v>110</v>
      </c>
      <c r="P192" s="7" t="s">
        <v>1410</v>
      </c>
      <c r="Q192" s="7" t="s">
        <v>1094</v>
      </c>
      <c r="R192" s="17" t="s">
        <v>1118</v>
      </c>
      <c r="S192" s="11">
        <v>45693</v>
      </c>
      <c r="T192" s="7"/>
    </row>
    <row r="193" spans="1:20" ht="12" customHeight="1">
      <c r="A193" s="6" t="s">
        <v>936</v>
      </c>
      <c r="B193" s="6" t="e">
        <f>_xlfn.XLOOKUP(E193,#REF!,#REF!)</f>
        <v>#REF!</v>
      </c>
      <c r="C193" s="6" t="e">
        <f t="shared" si="2"/>
        <v>#REF!</v>
      </c>
      <c r="D193" s="7" t="s">
        <v>112</v>
      </c>
      <c r="E193" s="7" t="s">
        <v>937</v>
      </c>
      <c r="F193" s="7" t="s">
        <v>95</v>
      </c>
      <c r="G193" s="7" t="s">
        <v>95</v>
      </c>
      <c r="H193" s="7" t="s">
        <v>95</v>
      </c>
      <c r="I193" s="7" t="s">
        <v>95</v>
      </c>
      <c r="J193" s="7" t="s">
        <v>95</v>
      </c>
      <c r="K193" s="7" t="s">
        <v>95</v>
      </c>
      <c r="L193" s="7" t="s">
        <v>95</v>
      </c>
      <c r="M193" s="7"/>
      <c r="N193" s="7"/>
      <c r="O193" s="7"/>
      <c r="P193" s="7"/>
      <c r="Q193" s="7"/>
      <c r="R193" s="7"/>
      <c r="S193" s="7"/>
      <c r="T193" s="7"/>
    </row>
    <row r="194" spans="1:20" ht="12" customHeight="1">
      <c r="A194" s="8" t="s">
        <v>939</v>
      </c>
      <c r="B194" s="6" t="e">
        <f>_xlfn.XLOOKUP(E194,#REF!,#REF!)</f>
        <v>#REF!</v>
      </c>
      <c r="C194" s="6" t="e">
        <f t="shared" si="2"/>
        <v>#REF!</v>
      </c>
      <c r="D194" s="7" t="s">
        <v>120</v>
      </c>
      <c r="E194" s="8" t="s">
        <v>940</v>
      </c>
      <c r="F194" s="7" t="s">
        <v>96</v>
      </c>
      <c r="G194" s="7" t="s">
        <v>96</v>
      </c>
      <c r="H194" s="7" t="s">
        <v>96</v>
      </c>
      <c r="I194" s="7" t="s">
        <v>96</v>
      </c>
      <c r="J194" s="7" t="s">
        <v>95</v>
      </c>
      <c r="K194" s="7" t="s">
        <v>95</v>
      </c>
      <c r="L194" s="7" t="s">
        <v>96</v>
      </c>
      <c r="M194" s="7" t="s">
        <v>345</v>
      </c>
      <c r="N194" s="7" t="s">
        <v>109</v>
      </c>
      <c r="O194" s="7" t="s">
        <v>110</v>
      </c>
      <c r="P194" s="9" t="s">
        <v>1411</v>
      </c>
      <c r="Q194" s="7"/>
      <c r="R194" s="23" t="s">
        <v>1104</v>
      </c>
      <c r="S194" s="11">
        <v>45758</v>
      </c>
      <c r="T194" s="7" t="s">
        <v>1105</v>
      </c>
    </row>
    <row r="195" spans="1:20" ht="12" customHeight="1">
      <c r="A195" s="6" t="s">
        <v>944</v>
      </c>
      <c r="B195" s="6" t="e">
        <f>_xlfn.XLOOKUP(E195,#REF!,#REF!)</f>
        <v>#REF!</v>
      </c>
      <c r="C195" s="6" t="e">
        <f t="shared" ref="C195:C221" si="3">A195=B195</f>
        <v>#REF!</v>
      </c>
      <c r="D195" s="7" t="s">
        <v>100</v>
      </c>
      <c r="E195" s="7" t="s">
        <v>945</v>
      </c>
      <c r="F195" s="7" t="s">
        <v>95</v>
      </c>
      <c r="G195" s="7" t="s">
        <v>95</v>
      </c>
      <c r="H195" s="7" t="s">
        <v>95</v>
      </c>
      <c r="I195" s="7" t="s">
        <v>95</v>
      </c>
      <c r="J195" s="7" t="s">
        <v>95</v>
      </c>
      <c r="K195" s="7" t="s">
        <v>95</v>
      </c>
      <c r="L195" s="7" t="s">
        <v>95</v>
      </c>
      <c r="M195" s="7"/>
      <c r="N195" s="7"/>
      <c r="O195" s="7"/>
      <c r="P195" s="7"/>
      <c r="Q195" s="7"/>
      <c r="R195" s="7"/>
      <c r="S195" s="7"/>
      <c r="T195" s="7"/>
    </row>
    <row r="196" spans="1:20" ht="15" customHeight="1">
      <c r="A196" s="8" t="s">
        <v>947</v>
      </c>
      <c r="B196" s="6" t="e">
        <f>_xlfn.XLOOKUP(E196,#REF!,#REF!)</f>
        <v>#REF!</v>
      </c>
      <c r="C196" s="6" t="e">
        <f t="shared" si="3"/>
        <v>#REF!</v>
      </c>
      <c r="D196" s="7" t="s">
        <v>132</v>
      </c>
      <c r="E196" s="8" t="s">
        <v>948</v>
      </c>
      <c r="F196" s="7" t="s">
        <v>96</v>
      </c>
      <c r="G196" s="7" t="s">
        <v>95</v>
      </c>
      <c r="H196" s="7" t="s">
        <v>95</v>
      </c>
      <c r="I196" s="7" t="s">
        <v>95</v>
      </c>
      <c r="J196" s="7" t="s">
        <v>95</v>
      </c>
      <c r="K196" s="7" t="s">
        <v>95</v>
      </c>
      <c r="L196" s="7" t="s">
        <v>95</v>
      </c>
      <c r="M196" s="7"/>
      <c r="N196" s="7"/>
      <c r="O196" s="7" t="s">
        <v>110</v>
      </c>
      <c r="P196" s="7" t="s">
        <v>1412</v>
      </c>
      <c r="Q196" s="7"/>
      <c r="R196" s="7" t="s">
        <v>1413</v>
      </c>
      <c r="S196" s="11">
        <v>45744</v>
      </c>
      <c r="T196" s="7"/>
    </row>
    <row r="197" spans="1:20" ht="13.25" customHeight="1">
      <c r="A197" s="8" t="s">
        <v>951</v>
      </c>
      <c r="B197" s="6" t="e">
        <f>_xlfn.XLOOKUP(E197,#REF!,#REF!)</f>
        <v>#REF!</v>
      </c>
      <c r="C197" s="6" t="e">
        <f t="shared" si="3"/>
        <v>#REF!</v>
      </c>
      <c r="D197" s="7" t="s">
        <v>120</v>
      </c>
      <c r="E197" s="8" t="s">
        <v>952</v>
      </c>
      <c r="F197" s="7" t="s">
        <v>96</v>
      </c>
      <c r="G197" s="7" t="s">
        <v>96</v>
      </c>
      <c r="H197" s="7" t="s">
        <v>95</v>
      </c>
      <c r="I197" s="7" t="s">
        <v>95</v>
      </c>
      <c r="J197" s="7" t="s">
        <v>95</v>
      </c>
      <c r="K197" s="7" t="s">
        <v>95</v>
      </c>
      <c r="L197" s="7" t="s">
        <v>95</v>
      </c>
      <c r="M197" s="7" t="s">
        <v>345</v>
      </c>
      <c r="N197" s="7" t="s">
        <v>148</v>
      </c>
      <c r="O197" s="7" t="s">
        <v>149</v>
      </c>
      <c r="P197" s="7" t="s">
        <v>1414</v>
      </c>
      <c r="Q197" s="7" t="s">
        <v>1094</v>
      </c>
      <c r="R197" s="12" t="s">
        <v>1099</v>
      </c>
      <c r="S197" s="11">
        <v>45694</v>
      </c>
      <c r="T197" s="7" t="s">
        <v>1098</v>
      </c>
    </row>
    <row r="198" spans="1:20" ht="12" customHeight="1">
      <c r="A198" s="8" t="s">
        <v>956</v>
      </c>
      <c r="B198" s="6" t="e">
        <f>_xlfn.XLOOKUP(E198,#REF!,#REF!)</f>
        <v>#REF!</v>
      </c>
      <c r="C198" s="6" t="e">
        <f t="shared" si="3"/>
        <v>#REF!</v>
      </c>
      <c r="D198" s="7" t="s">
        <v>120</v>
      </c>
      <c r="E198" s="8" t="s">
        <v>957</v>
      </c>
      <c r="F198" s="7" t="s">
        <v>96</v>
      </c>
      <c r="G198" s="7" t="s">
        <v>96</v>
      </c>
      <c r="H198" s="7" t="s">
        <v>95</v>
      </c>
      <c r="I198" s="7" t="s">
        <v>95</v>
      </c>
      <c r="J198" s="7" t="s">
        <v>96</v>
      </c>
      <c r="K198" s="7" t="s">
        <v>95</v>
      </c>
      <c r="L198" s="7" t="s">
        <v>95</v>
      </c>
      <c r="M198" s="7" t="s">
        <v>345</v>
      </c>
      <c r="N198" s="7" t="s">
        <v>109</v>
      </c>
      <c r="O198" s="7" t="s">
        <v>197</v>
      </c>
      <c r="P198" s="7" t="s">
        <v>1415</v>
      </c>
      <c r="Q198" s="7" t="s">
        <v>1100</v>
      </c>
      <c r="R198" s="7" t="s">
        <v>1101</v>
      </c>
      <c r="S198" s="11">
        <v>45748</v>
      </c>
      <c r="T198" s="7"/>
    </row>
    <row r="199" spans="1:20" ht="12" customHeight="1">
      <c r="A199" s="8" t="s">
        <v>960</v>
      </c>
      <c r="B199" s="6" t="e">
        <f>_xlfn.XLOOKUP(E199,#REF!,#REF!)</f>
        <v>#REF!</v>
      </c>
      <c r="C199" s="6" t="e">
        <f t="shared" si="3"/>
        <v>#REF!</v>
      </c>
      <c r="D199" s="7" t="s">
        <v>132</v>
      </c>
      <c r="E199" s="8" t="s">
        <v>961</v>
      </c>
      <c r="F199" s="7" t="s">
        <v>96</v>
      </c>
      <c r="G199" s="7" t="s">
        <v>95</v>
      </c>
      <c r="H199" s="7" t="s">
        <v>96</v>
      </c>
      <c r="I199" s="7" t="s">
        <v>95</v>
      </c>
      <c r="J199" s="7" t="s">
        <v>95</v>
      </c>
      <c r="K199" s="7" t="s">
        <v>95</v>
      </c>
      <c r="L199" s="7" t="s">
        <v>95</v>
      </c>
      <c r="M199" s="7" t="s">
        <v>198</v>
      </c>
      <c r="N199" s="7" t="s">
        <v>198</v>
      </c>
      <c r="O199" s="13" t="s">
        <v>964</v>
      </c>
      <c r="P199" s="7" t="s">
        <v>1416</v>
      </c>
      <c r="Q199" s="7"/>
      <c r="R199" s="7" t="s">
        <v>1252</v>
      </c>
      <c r="S199" s="11">
        <v>45755</v>
      </c>
      <c r="T199" s="7"/>
    </row>
    <row r="200" spans="1:20" ht="12" customHeight="1">
      <c r="A200" s="8" t="s">
        <v>965</v>
      </c>
      <c r="B200" s="6" t="e">
        <f>_xlfn.XLOOKUP(E200,#REF!,#REF!)</f>
        <v>#REF!</v>
      </c>
      <c r="C200" s="6" t="e">
        <f t="shared" si="3"/>
        <v>#REF!</v>
      </c>
      <c r="D200" s="7" t="s">
        <v>120</v>
      </c>
      <c r="E200" s="8" t="s">
        <v>966</v>
      </c>
      <c r="F200" s="7" t="s">
        <v>96</v>
      </c>
      <c r="G200" s="7" t="s">
        <v>96</v>
      </c>
      <c r="H200" s="7" t="s">
        <v>95</v>
      </c>
      <c r="I200" s="7" t="s">
        <v>95</v>
      </c>
      <c r="J200" s="7" t="s">
        <v>96</v>
      </c>
      <c r="K200" s="7" t="s">
        <v>95</v>
      </c>
      <c r="L200" s="7" t="s">
        <v>95</v>
      </c>
      <c r="M200" s="7" t="s">
        <v>198</v>
      </c>
      <c r="N200" s="7" t="s">
        <v>198</v>
      </c>
      <c r="O200" s="7" t="s">
        <v>149</v>
      </c>
      <c r="P200" s="7" t="s">
        <v>1417</v>
      </c>
      <c r="Q200" s="7"/>
      <c r="R200" s="7" t="s">
        <v>1102</v>
      </c>
      <c r="S200" s="11">
        <v>45755</v>
      </c>
      <c r="T200" s="7"/>
    </row>
    <row r="201" spans="1:20" ht="12" customHeight="1">
      <c r="A201" s="8" t="s">
        <v>972</v>
      </c>
      <c r="B201" s="6" t="e">
        <f>_xlfn.XLOOKUP(E201,#REF!,#REF!)</f>
        <v>#REF!</v>
      </c>
      <c r="C201" s="6" t="e">
        <f t="shared" si="3"/>
        <v>#REF!</v>
      </c>
      <c r="D201" s="7" t="s">
        <v>137</v>
      </c>
      <c r="E201" s="8" t="s">
        <v>973</v>
      </c>
      <c r="F201" s="7" t="s">
        <v>96</v>
      </c>
      <c r="G201" s="7" t="s">
        <v>95</v>
      </c>
      <c r="H201" s="7" t="s">
        <v>95</v>
      </c>
      <c r="I201" s="7" t="s">
        <v>95</v>
      </c>
      <c r="J201" s="7" t="s">
        <v>95</v>
      </c>
      <c r="K201" s="7" t="s">
        <v>95</v>
      </c>
      <c r="L201" s="7" t="s">
        <v>96</v>
      </c>
      <c r="M201" s="7" t="s">
        <v>198</v>
      </c>
      <c r="N201" s="7" t="s">
        <v>198</v>
      </c>
      <c r="O201" s="7" t="s">
        <v>149</v>
      </c>
      <c r="P201" s="7" t="s">
        <v>1418</v>
      </c>
      <c r="Q201" s="7"/>
      <c r="R201" s="1" t="s">
        <v>1196</v>
      </c>
      <c r="S201" s="11" t="s">
        <v>1197</v>
      </c>
      <c r="T201" s="7" t="s">
        <v>1198</v>
      </c>
    </row>
    <row r="202" spans="1:20" ht="13.25" customHeight="1">
      <c r="A202" s="8" t="s">
        <v>977</v>
      </c>
      <c r="B202" s="6" t="e">
        <f>_xlfn.XLOOKUP(E202,#REF!,#REF!)</f>
        <v>#REF!</v>
      </c>
      <c r="C202" s="6" t="e">
        <f t="shared" si="3"/>
        <v>#REF!</v>
      </c>
      <c r="D202" s="7" t="s">
        <v>112</v>
      </c>
      <c r="E202" s="8" t="s">
        <v>978</v>
      </c>
      <c r="F202" s="7" t="s">
        <v>96</v>
      </c>
      <c r="G202" s="7" t="s">
        <v>96</v>
      </c>
      <c r="H202" s="7" t="s">
        <v>96</v>
      </c>
      <c r="I202" s="7" t="s">
        <v>96</v>
      </c>
      <c r="J202" s="7" t="s">
        <v>95</v>
      </c>
      <c r="K202" s="7" t="s">
        <v>95</v>
      </c>
      <c r="L202" s="7" t="s">
        <v>96</v>
      </c>
      <c r="M202" s="7" t="s">
        <v>345</v>
      </c>
      <c r="N202" s="7" t="s">
        <v>109</v>
      </c>
      <c r="O202" s="7" t="s">
        <v>110</v>
      </c>
      <c r="P202" s="7" t="s">
        <v>1419</v>
      </c>
      <c r="Q202" s="7" t="s">
        <v>1094</v>
      </c>
      <c r="R202" s="12" t="s">
        <v>1215</v>
      </c>
      <c r="S202" s="11">
        <v>45758</v>
      </c>
      <c r="T202" s="7"/>
    </row>
    <row r="203" spans="1:20" ht="13.25" customHeight="1">
      <c r="A203" s="8" t="s">
        <v>982</v>
      </c>
      <c r="B203" s="6" t="e">
        <f>_xlfn.XLOOKUP(E203,#REF!,#REF!)</f>
        <v>#REF!</v>
      </c>
      <c r="C203" s="6" t="e">
        <f t="shared" si="3"/>
        <v>#REF!</v>
      </c>
      <c r="D203" s="7" t="s">
        <v>100</v>
      </c>
      <c r="E203" s="8" t="s">
        <v>983</v>
      </c>
      <c r="F203" s="7" t="s">
        <v>96</v>
      </c>
      <c r="G203" s="7" t="s">
        <v>96</v>
      </c>
      <c r="H203" s="7" t="s">
        <v>96</v>
      </c>
      <c r="I203" s="7" t="s">
        <v>96</v>
      </c>
      <c r="J203" s="7" t="s">
        <v>95</v>
      </c>
      <c r="K203" s="7" t="s">
        <v>95</v>
      </c>
      <c r="L203" s="7" t="s">
        <v>96</v>
      </c>
      <c r="M203" s="7" t="s">
        <v>108</v>
      </c>
      <c r="N203" s="7" t="s">
        <v>109</v>
      </c>
      <c r="O203" s="7" t="s">
        <v>110</v>
      </c>
      <c r="P203" s="7" t="s">
        <v>1420</v>
      </c>
      <c r="Q203" s="7"/>
      <c r="R203" s="12" t="s">
        <v>1163</v>
      </c>
      <c r="S203" s="11">
        <v>45693</v>
      </c>
      <c r="T203" s="9"/>
    </row>
    <row r="204" spans="1:20" ht="12" customHeight="1">
      <c r="A204" s="6" t="s">
        <v>987</v>
      </c>
      <c r="B204" s="6" t="e">
        <f>_xlfn.XLOOKUP(E204,#REF!,#REF!)</f>
        <v>#REF!</v>
      </c>
      <c r="C204" s="6" t="e">
        <f t="shared" si="3"/>
        <v>#REF!</v>
      </c>
      <c r="D204" s="7" t="s">
        <v>100</v>
      </c>
      <c r="E204" s="7" t="s">
        <v>988</v>
      </c>
      <c r="F204" s="7" t="s">
        <v>95</v>
      </c>
      <c r="G204" s="7" t="s">
        <v>95</v>
      </c>
      <c r="H204" s="7" t="s">
        <v>95</v>
      </c>
      <c r="I204" s="7" t="s">
        <v>95</v>
      </c>
      <c r="J204" s="7" t="s">
        <v>95</v>
      </c>
      <c r="K204" s="7" t="s">
        <v>95</v>
      </c>
      <c r="L204" s="7" t="s">
        <v>95</v>
      </c>
      <c r="M204" s="7"/>
      <c r="N204" s="7"/>
      <c r="O204" s="7"/>
      <c r="P204" s="7"/>
      <c r="Q204" s="7"/>
      <c r="R204" s="7"/>
      <c r="S204" s="7"/>
      <c r="T204" s="7"/>
    </row>
    <row r="205" spans="1:20" ht="12" customHeight="1">
      <c r="A205" s="6" t="s">
        <v>990</v>
      </c>
      <c r="B205" s="6" t="e">
        <f>_xlfn.XLOOKUP(E205,#REF!,#REF!)</f>
        <v>#REF!</v>
      </c>
      <c r="C205" s="6" t="e">
        <f t="shared" si="3"/>
        <v>#REF!</v>
      </c>
      <c r="D205" s="7" t="s">
        <v>137</v>
      </c>
      <c r="E205" s="7" t="s">
        <v>991</v>
      </c>
      <c r="F205" s="7" t="s">
        <v>95</v>
      </c>
      <c r="G205" s="7" t="s">
        <v>95</v>
      </c>
      <c r="H205" s="7" t="s">
        <v>95</v>
      </c>
      <c r="I205" s="7" t="s">
        <v>95</v>
      </c>
      <c r="J205" s="7" t="s">
        <v>95</v>
      </c>
      <c r="K205" s="7" t="s">
        <v>95</v>
      </c>
      <c r="L205" s="7" t="s">
        <v>95</v>
      </c>
      <c r="M205" s="7"/>
      <c r="N205" s="7"/>
      <c r="O205" s="7"/>
      <c r="P205" s="7"/>
      <c r="Q205" s="7"/>
      <c r="R205" s="7"/>
      <c r="S205" s="7"/>
      <c r="T205" s="7"/>
    </row>
    <row r="206" spans="1:20" ht="18" customHeight="1">
      <c r="A206" s="8" t="s">
        <v>993</v>
      </c>
      <c r="B206" s="6" t="e">
        <f>_xlfn.XLOOKUP(E206,#REF!,#REF!)</f>
        <v>#REF!</v>
      </c>
      <c r="C206" s="6" t="e">
        <f t="shared" si="3"/>
        <v>#REF!</v>
      </c>
      <c r="D206" s="7" t="s">
        <v>120</v>
      </c>
      <c r="E206" s="8" t="s">
        <v>994</v>
      </c>
      <c r="F206" s="7" t="s">
        <v>96</v>
      </c>
      <c r="G206" s="7" t="s">
        <v>95</v>
      </c>
      <c r="H206" s="7" t="s">
        <v>96</v>
      </c>
      <c r="I206" s="7" t="s">
        <v>95</v>
      </c>
      <c r="J206" s="7" t="s">
        <v>95</v>
      </c>
      <c r="K206" s="7" t="s">
        <v>95</v>
      </c>
      <c r="L206" s="7" t="s">
        <v>96</v>
      </c>
      <c r="M206" s="7" t="s">
        <v>106</v>
      </c>
      <c r="N206" s="7" t="s">
        <v>109</v>
      </c>
      <c r="O206" s="7" t="s">
        <v>110</v>
      </c>
      <c r="P206" s="7" t="s">
        <v>1421</v>
      </c>
      <c r="Q206" s="7"/>
      <c r="R206" s="1" t="s">
        <v>1103</v>
      </c>
      <c r="S206" s="11">
        <v>45694</v>
      </c>
      <c r="T206" s="7" t="s">
        <v>1096</v>
      </c>
    </row>
    <row r="207" spans="1:20" ht="17" customHeight="1">
      <c r="A207" s="8" t="s">
        <v>997</v>
      </c>
      <c r="B207" s="6" t="e">
        <f>_xlfn.XLOOKUP(E207,#REF!,#REF!)</f>
        <v>#REF!</v>
      </c>
      <c r="C207" s="6" t="e">
        <f t="shared" si="3"/>
        <v>#REF!</v>
      </c>
      <c r="D207" s="7" t="s">
        <v>132</v>
      </c>
      <c r="E207" s="8" t="s">
        <v>998</v>
      </c>
      <c r="F207" s="7" t="s">
        <v>96</v>
      </c>
      <c r="G207" s="7" t="s">
        <v>96</v>
      </c>
      <c r="H207" s="7" t="s">
        <v>96</v>
      </c>
      <c r="I207" s="7" t="s">
        <v>95</v>
      </c>
      <c r="J207" s="7" t="s">
        <v>95</v>
      </c>
      <c r="K207" s="7" t="s">
        <v>95</v>
      </c>
      <c r="L207" s="7" t="s">
        <v>95</v>
      </c>
      <c r="M207" s="7" t="s">
        <v>106</v>
      </c>
      <c r="N207" s="7" t="s">
        <v>106</v>
      </c>
      <c r="O207" s="7" t="s">
        <v>197</v>
      </c>
      <c r="P207" s="7" t="s">
        <v>1422</v>
      </c>
      <c r="Q207" s="7"/>
      <c r="R207" s="7" t="s">
        <v>1253</v>
      </c>
      <c r="S207" s="7"/>
      <c r="T207" s="7"/>
    </row>
    <row r="208" spans="1:20" ht="18" customHeight="1">
      <c r="A208" s="8" t="s">
        <v>1001</v>
      </c>
      <c r="B208" s="6" t="e">
        <f>_xlfn.XLOOKUP(E208,#REF!,#REF!)</f>
        <v>#REF!</v>
      </c>
      <c r="C208" s="6" t="e">
        <f t="shared" si="3"/>
        <v>#REF!</v>
      </c>
      <c r="D208" s="7" t="s">
        <v>100</v>
      </c>
      <c r="E208" s="8" t="s">
        <v>1002</v>
      </c>
      <c r="F208" s="7" t="s">
        <v>96</v>
      </c>
      <c r="G208" s="7" t="s">
        <v>96</v>
      </c>
      <c r="H208" s="7" t="s">
        <v>96</v>
      </c>
      <c r="I208" s="7" t="s">
        <v>96</v>
      </c>
      <c r="J208" s="7" t="s">
        <v>95</v>
      </c>
      <c r="K208" s="7" t="s">
        <v>95</v>
      </c>
      <c r="L208" s="7" t="s">
        <v>96</v>
      </c>
      <c r="M208" s="7" t="s">
        <v>108</v>
      </c>
      <c r="N208" s="7" t="s">
        <v>109</v>
      </c>
      <c r="O208" s="7" t="s">
        <v>197</v>
      </c>
      <c r="P208" s="7" t="s">
        <v>1423</v>
      </c>
      <c r="Q208" s="7" t="s">
        <v>1094</v>
      </c>
      <c r="R208" s="17" t="s">
        <v>1166</v>
      </c>
      <c r="S208" s="11">
        <v>45693</v>
      </c>
      <c r="T208" s="7" t="s">
        <v>1165</v>
      </c>
    </row>
    <row r="209" spans="1:20" ht="18" customHeight="1">
      <c r="A209" s="8" t="s">
        <v>1006</v>
      </c>
      <c r="B209" s="6" t="e">
        <f>_xlfn.XLOOKUP(E209,#REF!,#REF!)</f>
        <v>#REF!</v>
      </c>
      <c r="C209" s="6" t="e">
        <f t="shared" si="3"/>
        <v>#REF!</v>
      </c>
      <c r="D209" s="7" t="s">
        <v>112</v>
      </c>
      <c r="E209" s="8" t="s">
        <v>1007</v>
      </c>
      <c r="F209" s="7" t="s">
        <v>96</v>
      </c>
      <c r="G209" s="7" t="s">
        <v>96</v>
      </c>
      <c r="H209" s="7" t="s">
        <v>96</v>
      </c>
      <c r="I209" s="7" t="s">
        <v>96</v>
      </c>
      <c r="J209" s="7" t="s">
        <v>95</v>
      </c>
      <c r="K209" s="7" t="s">
        <v>95</v>
      </c>
      <c r="L209" s="7" t="s">
        <v>95</v>
      </c>
      <c r="M209" s="7" t="s">
        <v>106</v>
      </c>
      <c r="N209" s="7" t="s">
        <v>109</v>
      </c>
      <c r="O209" s="7" t="s">
        <v>110</v>
      </c>
      <c r="P209" s="7" t="s">
        <v>1424</v>
      </c>
      <c r="Q209" s="7" t="s">
        <v>1094</v>
      </c>
      <c r="R209" s="12" t="s">
        <v>1203</v>
      </c>
      <c r="S209" s="11">
        <v>45694</v>
      </c>
      <c r="T209" s="7"/>
    </row>
    <row r="210" spans="1:20" ht="18" customHeight="1">
      <c r="A210" s="8" t="s">
        <v>1011</v>
      </c>
      <c r="B210" s="6" t="e">
        <f>_xlfn.XLOOKUP(E210,#REF!,#REF!)</f>
        <v>#REF!</v>
      </c>
      <c r="C210" s="6" t="e">
        <f t="shared" si="3"/>
        <v>#REF!</v>
      </c>
      <c r="D210" s="7" t="s">
        <v>100</v>
      </c>
      <c r="E210" s="8" t="s">
        <v>1012</v>
      </c>
      <c r="F210" s="7" t="s">
        <v>96</v>
      </c>
      <c r="G210" s="7" t="s">
        <v>96</v>
      </c>
      <c r="H210" s="7" t="s">
        <v>96</v>
      </c>
      <c r="I210" s="7" t="s">
        <v>96</v>
      </c>
      <c r="J210" s="7" t="s">
        <v>95</v>
      </c>
      <c r="K210" s="7" t="s">
        <v>95</v>
      </c>
      <c r="L210" s="7" t="s">
        <v>95</v>
      </c>
      <c r="M210" s="7" t="s">
        <v>108</v>
      </c>
      <c r="N210" s="7" t="s">
        <v>109</v>
      </c>
      <c r="O210" s="7" t="s">
        <v>110</v>
      </c>
      <c r="P210" s="7" t="s">
        <v>1425</v>
      </c>
      <c r="Q210" s="7"/>
      <c r="R210" s="12" t="s">
        <v>1129</v>
      </c>
      <c r="S210" s="11">
        <v>45693</v>
      </c>
      <c r="T210" s="7"/>
    </row>
    <row r="211" spans="1:20" ht="18" customHeight="1">
      <c r="A211" s="8" t="s">
        <v>1016</v>
      </c>
      <c r="B211" s="6" t="e">
        <f>_xlfn.XLOOKUP(E211,#REF!,#REF!)</f>
        <v>#REF!</v>
      </c>
      <c r="C211" s="6" t="e">
        <f t="shared" si="3"/>
        <v>#REF!</v>
      </c>
      <c r="D211" s="7" t="s">
        <v>217</v>
      </c>
      <c r="E211" s="8" t="s">
        <v>1017</v>
      </c>
      <c r="F211" s="7" t="s">
        <v>96</v>
      </c>
      <c r="G211" s="7" t="s">
        <v>96</v>
      </c>
      <c r="H211" s="7" t="s">
        <v>96</v>
      </c>
      <c r="I211" s="7" t="s">
        <v>96</v>
      </c>
      <c r="J211" s="7" t="s">
        <v>95</v>
      </c>
      <c r="K211" s="7" t="s">
        <v>95</v>
      </c>
      <c r="L211" s="7" t="s">
        <v>96</v>
      </c>
      <c r="M211" s="7" t="s">
        <v>108</v>
      </c>
      <c r="N211" s="7" t="s">
        <v>109</v>
      </c>
      <c r="O211" s="7" t="s">
        <v>197</v>
      </c>
      <c r="P211" s="9" t="s">
        <v>1426</v>
      </c>
      <c r="Q211" s="7" t="s">
        <v>1094</v>
      </c>
      <c r="R211" s="23" t="s">
        <v>1218</v>
      </c>
      <c r="S211" s="11">
        <v>45685</v>
      </c>
      <c r="T211" s="7" t="s">
        <v>1219</v>
      </c>
    </row>
    <row r="212" spans="1:20" ht="15" customHeight="1">
      <c r="A212" s="8" t="s">
        <v>1022</v>
      </c>
      <c r="B212" s="6" t="e">
        <f>_xlfn.XLOOKUP(E212,#REF!,#REF!)</f>
        <v>#REF!</v>
      </c>
      <c r="C212" s="6" t="e">
        <f t="shared" si="3"/>
        <v>#REF!</v>
      </c>
      <c r="D212" s="7" t="s">
        <v>137</v>
      </c>
      <c r="E212" s="8" t="s">
        <v>1023</v>
      </c>
      <c r="F212" s="7" t="s">
        <v>96</v>
      </c>
      <c r="G212" s="7" t="s">
        <v>96</v>
      </c>
      <c r="H212" s="7" t="s">
        <v>96</v>
      </c>
      <c r="I212" s="7" t="s">
        <v>95</v>
      </c>
      <c r="J212" s="7" t="s">
        <v>95</v>
      </c>
      <c r="K212" s="7" t="s">
        <v>95</v>
      </c>
      <c r="L212" s="7" t="s">
        <v>96</v>
      </c>
      <c r="M212" s="7" t="s">
        <v>106</v>
      </c>
      <c r="N212" s="7" t="s">
        <v>109</v>
      </c>
      <c r="O212" s="7" t="s">
        <v>110</v>
      </c>
      <c r="P212" s="7" t="s">
        <v>1427</v>
      </c>
      <c r="Q212" s="7" t="s">
        <v>1072</v>
      </c>
      <c r="R212" s="10" t="s">
        <v>1199</v>
      </c>
      <c r="S212" s="11">
        <v>45693</v>
      </c>
      <c r="T212" s="7" t="s">
        <v>1200</v>
      </c>
    </row>
    <row r="213" spans="1:20" ht="12" customHeight="1">
      <c r="A213" s="8" t="s">
        <v>1028</v>
      </c>
      <c r="B213" s="6" t="e">
        <f>_xlfn.XLOOKUP(E213,#REF!,#REF!)</f>
        <v>#REF!</v>
      </c>
      <c r="C213" s="6" t="e">
        <f t="shared" si="3"/>
        <v>#REF!</v>
      </c>
      <c r="D213" s="7" t="s">
        <v>100</v>
      </c>
      <c r="E213" s="8" t="s">
        <v>1029</v>
      </c>
      <c r="F213" s="7" t="s">
        <v>96</v>
      </c>
      <c r="G213" s="7" t="s">
        <v>96</v>
      </c>
      <c r="H213" s="7" t="s">
        <v>95</v>
      </c>
      <c r="I213" s="7" t="s">
        <v>95</v>
      </c>
      <c r="J213" s="7" t="s">
        <v>95</v>
      </c>
      <c r="K213" s="7" t="s">
        <v>95</v>
      </c>
      <c r="L213" s="7" t="s">
        <v>95</v>
      </c>
      <c r="M213" s="7" t="s">
        <v>198</v>
      </c>
      <c r="N213" s="7" t="s">
        <v>198</v>
      </c>
      <c r="O213" s="7" t="s">
        <v>203</v>
      </c>
      <c r="P213" s="7" t="s">
        <v>1428</v>
      </c>
      <c r="Q213" s="7"/>
      <c r="R213" s="7" t="s">
        <v>1167</v>
      </c>
      <c r="S213" s="11">
        <v>45755</v>
      </c>
      <c r="T213" s="7"/>
    </row>
    <row r="214" spans="1:20" ht="12" customHeight="1">
      <c r="A214" s="8" t="s">
        <v>1032</v>
      </c>
      <c r="B214" s="6" t="e">
        <f>_xlfn.XLOOKUP(E214,#REF!,#REF!)</f>
        <v>#REF!</v>
      </c>
      <c r="C214" s="6" t="e">
        <f t="shared" si="3"/>
        <v>#REF!</v>
      </c>
      <c r="D214" s="7" t="s">
        <v>120</v>
      </c>
      <c r="E214" s="8" t="s">
        <v>1033</v>
      </c>
      <c r="F214" s="7" t="s">
        <v>96</v>
      </c>
      <c r="G214" s="7" t="s">
        <v>95</v>
      </c>
      <c r="H214" s="7" t="s">
        <v>95</v>
      </c>
      <c r="I214" s="7" t="s">
        <v>95</v>
      </c>
      <c r="J214" s="7" t="s">
        <v>95</v>
      </c>
      <c r="K214" s="7" t="s">
        <v>95</v>
      </c>
      <c r="L214" s="7" t="s">
        <v>96</v>
      </c>
      <c r="M214" s="7" t="s">
        <v>198</v>
      </c>
      <c r="N214" s="7" t="s">
        <v>198</v>
      </c>
      <c r="O214" s="7" t="s">
        <v>203</v>
      </c>
      <c r="P214" s="7" t="s">
        <v>1429</v>
      </c>
      <c r="Q214" s="7"/>
      <c r="R214" s="7" t="s">
        <v>1107</v>
      </c>
      <c r="S214" s="11">
        <v>45755</v>
      </c>
      <c r="T214" s="7"/>
    </row>
    <row r="215" spans="1:20" ht="15" customHeight="1">
      <c r="A215" s="8" t="s">
        <v>1037</v>
      </c>
      <c r="B215" s="6" t="e">
        <f>_xlfn.XLOOKUP(E215,#REF!,#REF!)</f>
        <v>#REF!</v>
      </c>
      <c r="C215" s="6" t="e">
        <f t="shared" si="3"/>
        <v>#REF!</v>
      </c>
      <c r="D215" s="7" t="s">
        <v>137</v>
      </c>
      <c r="E215" s="8" t="s">
        <v>1038</v>
      </c>
      <c r="F215" s="7" t="s">
        <v>96</v>
      </c>
      <c r="G215" s="7" t="s">
        <v>96</v>
      </c>
      <c r="H215" s="7" t="s">
        <v>95</v>
      </c>
      <c r="I215" s="7" t="s">
        <v>95</v>
      </c>
      <c r="J215" s="7" t="s">
        <v>96</v>
      </c>
      <c r="K215" s="7" t="s">
        <v>95</v>
      </c>
      <c r="L215" s="7" t="s">
        <v>96</v>
      </c>
      <c r="M215" s="7" t="s">
        <v>106</v>
      </c>
      <c r="N215" s="7" t="s">
        <v>109</v>
      </c>
      <c r="O215" s="7" t="s">
        <v>110</v>
      </c>
      <c r="P215" s="9" t="s">
        <v>1430</v>
      </c>
      <c r="Q215" s="7" t="s">
        <v>1094</v>
      </c>
      <c r="R215" s="23" t="s">
        <v>1201</v>
      </c>
      <c r="S215" s="11">
        <v>45755</v>
      </c>
      <c r="T215" s="7"/>
    </row>
    <row r="216" spans="1:20" ht="14" customHeight="1">
      <c r="A216" s="8" t="s">
        <v>1040</v>
      </c>
      <c r="B216" s="6" t="e">
        <f>_xlfn.XLOOKUP(E216,#REF!,#REF!)</f>
        <v>#REF!</v>
      </c>
      <c r="C216" s="6" t="e">
        <f t="shared" si="3"/>
        <v>#REF!</v>
      </c>
      <c r="D216" s="7" t="s">
        <v>120</v>
      </c>
      <c r="E216" s="8" t="s">
        <v>1041</v>
      </c>
      <c r="F216" s="7" t="s">
        <v>96</v>
      </c>
      <c r="G216" s="7" t="s">
        <v>96</v>
      </c>
      <c r="H216" s="7" t="s">
        <v>96</v>
      </c>
      <c r="I216" s="7" t="s">
        <v>96</v>
      </c>
      <c r="J216" s="7" t="s">
        <v>96</v>
      </c>
      <c r="K216" s="7" t="s">
        <v>95</v>
      </c>
      <c r="L216" s="7" t="s">
        <v>96</v>
      </c>
      <c r="M216" s="7" t="s">
        <v>118</v>
      </c>
      <c r="N216" s="7" t="s">
        <v>109</v>
      </c>
      <c r="O216" s="7" t="s">
        <v>110</v>
      </c>
      <c r="P216" s="7" t="s">
        <v>1431</v>
      </c>
      <c r="Q216" s="7" t="s">
        <v>1094</v>
      </c>
      <c r="R216" s="12" t="s">
        <v>1106</v>
      </c>
      <c r="S216" s="11">
        <v>45754</v>
      </c>
      <c r="T216" s="7"/>
    </row>
    <row r="217" spans="1:20" ht="12" customHeight="1">
      <c r="A217" s="6" t="s">
        <v>1046</v>
      </c>
      <c r="B217" s="6" t="e">
        <f>_xlfn.XLOOKUP(E217,#REF!,#REF!)</f>
        <v>#REF!</v>
      </c>
      <c r="C217" s="6" t="e">
        <f t="shared" si="3"/>
        <v>#REF!</v>
      </c>
      <c r="D217" s="7" t="s">
        <v>137</v>
      </c>
      <c r="E217" s="7" t="s">
        <v>1047</v>
      </c>
      <c r="F217" s="7" t="s">
        <v>95</v>
      </c>
      <c r="G217" s="7" t="s">
        <v>95</v>
      </c>
      <c r="H217" s="7" t="s">
        <v>95</v>
      </c>
      <c r="I217" s="7" t="s">
        <v>95</v>
      </c>
      <c r="J217" s="7" t="s">
        <v>95</v>
      </c>
      <c r="K217" s="7" t="s">
        <v>95</v>
      </c>
      <c r="L217" s="7" t="s">
        <v>95</v>
      </c>
      <c r="M217" s="7"/>
      <c r="N217" s="7"/>
      <c r="O217" s="7"/>
      <c r="P217" s="7"/>
      <c r="Q217" s="7"/>
      <c r="R217" s="7"/>
      <c r="S217" s="7"/>
      <c r="T217" s="7"/>
    </row>
    <row r="218" spans="1:20" ht="12" customHeight="1">
      <c r="A218" s="6" t="s">
        <v>1050</v>
      </c>
      <c r="B218" s="6" t="e">
        <f>_xlfn.XLOOKUP(E218,#REF!,#REF!)</f>
        <v>#REF!</v>
      </c>
      <c r="C218" s="6" t="e">
        <f t="shared" si="3"/>
        <v>#REF!</v>
      </c>
      <c r="D218" s="7" t="s">
        <v>112</v>
      </c>
      <c r="E218" s="7" t="s">
        <v>1051</v>
      </c>
      <c r="F218" s="7" t="s">
        <v>95</v>
      </c>
      <c r="G218" s="7" t="s">
        <v>95</v>
      </c>
      <c r="H218" s="7" t="s">
        <v>95</v>
      </c>
      <c r="I218" s="7" t="s">
        <v>95</v>
      </c>
      <c r="J218" s="7" t="s">
        <v>95</v>
      </c>
      <c r="K218" s="7" t="s">
        <v>95</v>
      </c>
      <c r="L218" s="7" t="s">
        <v>95</v>
      </c>
      <c r="M218" s="7"/>
      <c r="N218" s="7"/>
      <c r="O218" s="7"/>
      <c r="P218" s="7"/>
      <c r="Q218" s="7"/>
      <c r="R218" s="7"/>
      <c r="S218" s="7"/>
      <c r="T218" s="7"/>
    </row>
    <row r="219" spans="1:20" ht="12" customHeight="1">
      <c r="A219" s="6" t="s">
        <v>1053</v>
      </c>
      <c r="B219" s="6" t="e">
        <f>_xlfn.XLOOKUP(E219,#REF!,#REF!)</f>
        <v>#REF!</v>
      </c>
      <c r="C219" s="6" t="e">
        <f t="shared" si="3"/>
        <v>#REF!</v>
      </c>
      <c r="D219" s="7" t="s">
        <v>112</v>
      </c>
      <c r="E219" s="7" t="s">
        <v>1054</v>
      </c>
      <c r="F219" s="7" t="s">
        <v>95</v>
      </c>
      <c r="G219" s="7" t="s">
        <v>95</v>
      </c>
      <c r="H219" s="7" t="s">
        <v>95</v>
      </c>
      <c r="I219" s="7" t="s">
        <v>95</v>
      </c>
      <c r="J219" s="7" t="s">
        <v>95</v>
      </c>
      <c r="K219" s="7" t="s">
        <v>95</v>
      </c>
      <c r="L219" s="7" t="s">
        <v>95</v>
      </c>
      <c r="M219" s="7"/>
      <c r="N219" s="7"/>
      <c r="O219" s="7"/>
      <c r="P219" s="7"/>
      <c r="Q219" s="7"/>
      <c r="R219" s="7"/>
      <c r="S219" s="7"/>
      <c r="T219" s="7"/>
    </row>
    <row r="220" spans="1:20" ht="15" customHeight="1">
      <c r="A220" s="8" t="s">
        <v>1057</v>
      </c>
      <c r="B220" s="6" t="e">
        <f>_xlfn.XLOOKUP(E220,#REF!,#REF!)</f>
        <v>#REF!</v>
      </c>
      <c r="C220" s="6" t="e">
        <f t="shared" si="3"/>
        <v>#REF!</v>
      </c>
      <c r="D220" s="7" t="s">
        <v>132</v>
      </c>
      <c r="E220" s="8" t="s">
        <v>1058</v>
      </c>
      <c r="F220" s="7" t="s">
        <v>96</v>
      </c>
      <c r="G220" s="7" t="s">
        <v>96</v>
      </c>
      <c r="H220" s="7" t="s">
        <v>96</v>
      </c>
      <c r="I220" s="7" t="s">
        <v>96</v>
      </c>
      <c r="J220" s="7" t="s">
        <v>96</v>
      </c>
      <c r="K220" s="7" t="s">
        <v>95</v>
      </c>
      <c r="L220" s="7" t="s">
        <v>96</v>
      </c>
      <c r="M220" s="7" t="s">
        <v>108</v>
      </c>
      <c r="N220" s="7" t="s">
        <v>109</v>
      </c>
      <c r="O220" s="7" t="s">
        <v>110</v>
      </c>
      <c r="P220" s="7" t="s">
        <v>1432</v>
      </c>
      <c r="Q220" s="7"/>
      <c r="R220" s="7" t="s">
        <v>1254</v>
      </c>
      <c r="S220" s="11">
        <v>45754</v>
      </c>
      <c r="T220" s="7"/>
    </row>
    <row r="221" spans="1:20" ht="12" customHeight="1">
      <c r="A221" s="8" t="s">
        <v>1060</v>
      </c>
      <c r="B221" s="6" t="e">
        <f>_xlfn.XLOOKUP(E221,#REF!,#REF!)</f>
        <v>#REF!</v>
      </c>
      <c r="C221" s="6" t="e">
        <f t="shared" si="3"/>
        <v>#REF!</v>
      </c>
      <c r="D221" s="7" t="s">
        <v>132</v>
      </c>
      <c r="E221" s="8" t="s">
        <v>1061</v>
      </c>
      <c r="F221" s="7" t="s">
        <v>96</v>
      </c>
      <c r="G221" s="7" t="s">
        <v>96</v>
      </c>
      <c r="H221" s="7" t="s">
        <v>95</v>
      </c>
      <c r="I221" s="7" t="s">
        <v>95</v>
      </c>
      <c r="J221" s="7" t="s">
        <v>96</v>
      </c>
      <c r="K221" s="7" t="s">
        <v>95</v>
      </c>
      <c r="L221" s="7" t="s">
        <v>95</v>
      </c>
      <c r="M221" s="7" t="s">
        <v>198</v>
      </c>
      <c r="N221" s="7" t="s">
        <v>198</v>
      </c>
      <c r="O221" s="7" t="s">
        <v>203</v>
      </c>
      <c r="P221" s="7" t="s">
        <v>1433</v>
      </c>
      <c r="Q221" s="7"/>
      <c r="R221" s="7" t="s">
        <v>1255</v>
      </c>
      <c r="S221" s="11">
        <v>45755</v>
      </c>
      <c r="T221" s="7"/>
    </row>
    <row r="222" spans="1:20" ht="12" customHeight="1">
      <c r="F222" s="13"/>
    </row>
  </sheetData>
  <autoFilter ref="A2:T221"/>
  <dataValidations count="4">
    <dataValidation type="list" allowBlank="1" showInputMessage="1" showErrorMessage="1" sqref="O3:O198 O200:O221">
      <formula1>$A$29:$A$34</formula1>
    </dataValidation>
    <dataValidation type="list" allowBlank="1" showInputMessage="1" showErrorMessage="1" sqref="F3:F221">
      <formula1>$A$11:$A$14</formula1>
    </dataValidation>
    <dataValidation type="list" allowBlank="1" showInputMessage="1" showErrorMessage="1" sqref="M3:M221">
      <formula1>$A$17:$A$20</formula1>
    </dataValidation>
    <dataValidation type="list" allowBlank="1" showInputMessage="1" showErrorMessage="1" sqref="N3:N221">
      <formula1>$A$23:$A$26</formula1>
    </dataValidation>
  </dataValidations>
  <hyperlinks>
    <hyperlink ref="R105" r:id="rId1" display="https://packagingschool.com/lessons/extended-producer-responsibility-laws-for-packaging-around-the-world"/>
    <hyperlink ref="R158" r:id="rId2" display="https://packagingschool.com/lessons/extended-producer-responsibility-laws-for-packaging-around-the-world"/>
    <hyperlink ref="R37" r:id="rId3" display="https://www.cameroontradeportal.cm/tradeportal/templates/Tip_accueil/docs/arretes/Arrete_minepded_mincommerce.pdf; "/>
    <hyperlink ref="R202" r:id="rId4" display="https://www.loraxcompliance.com/blog/env/2021/07/07/EPR_in_Africa_-_what_to_expect_in_the_next_few_years.html"/>
    <hyperlink ref="R139" r:id="rId5" display="https://www.loraxcompliance.com/blog/env/2021/07/07/EPR_in_Africa_-_what_to_expect_in_the_next_few_years.html"/>
    <hyperlink ref="R32" r:id="rId6" display="https://clarity.eco/knowledge/a-state-by-state-guide-to-the-rollout-of-packaging-epr-approaches-across-eu-member-countries/"/>
    <hyperlink ref="R151" r:id="rId7" display="https://clarity.eco/knowledge/a-state-by-state-guide-to-the-rollout-of-packaging-epr-approaches-across-eu-member-countries/"/>
    <hyperlink ref="R210" r:id="rId8" display="https://www.gov.uk/government/news/packuk-the-new-scheme-administrator-packaging-extended-producer-responsibility"/>
    <hyperlink ref="R172" r:id="rId9" display="https://packagingschool.com/lessons/extended-producer-responsibility-laws-for-packaging-around-the-world"/>
    <hyperlink ref="R192" r:id="rId10" display="https://packagingschool.com/lessons/extended-producer-responsibility-laws-for-packaging-around-the-world"/>
    <hyperlink ref="R203" r:id="rId11" display="https://www.loraxcompliance.com/blog/env/2020/02/21/Turkey_imposes_a_Recycling_Contribution_Fee_(GEKAP).html"/>
    <hyperlink ref="R108" r:id="rId12" display="https://deutsche-recycling.com/blog/epr-obligations-in-turkey-and-the-western-balkans/"/>
    <hyperlink ref="R165" r:id="rId13" display="https://packagingschool.com/lessons/extended-producer-responsibility-laws-for-packaging-around-the-world"/>
    <hyperlink ref="R44" r:id="rId14" display="https://doi.org/10.1016/j.cec.2024.100076"/>
    <hyperlink ref="R175" r:id="rId15"/>
    <hyperlink ref="R93" r:id="rId16" display="https://recykal.com/blog/a-guide-to-epr-compliance-in-india/"/>
    <hyperlink ref="R102" r:id="rId17" display="http://m-yamaguchi.jp/english_page/EPR_in_Japan_2002_ECP_No19.pdf"/>
    <hyperlink ref="R159" r:id="rId18" display="https://packagingschool.com/lessons/extended-producer-responsibility-laws-for-packaging-around-the-world"/>
    <hyperlink ref="R197" r:id="rId19" display="https://rkcmpd-eria.org/index.php/extended-producer-responsibility/legal-framework/thailand"/>
    <hyperlink ref="R216" r:id="rId20" display="https://rkcmpd-eria.org/index.php/extended-producer-responsibility/legal-framework/viet-nam"/>
    <hyperlink ref="R13" r:id="rId21" display="https://packagingschool.com/lessons/extended-producer-responsibility-laws-for-packaging-around-the-world"/>
    <hyperlink ref="R144" r:id="rId22"/>
    <hyperlink ref="R104" r:id="rId23" display="https://compliance.globalnorm.de/en/product-compliance-news/detail/kazakhstan-epr-requirements-revised/"/>
    <hyperlink ref="R103" r:id="rId24" display="https://packagingschool.com/lessons/extended-producer-responsibility-laws-for-packaging-around-the-world"/>
    <hyperlink ref="R130" r:id="rId25" display="https://ceflex.eu/epr-in-the-global-south-part-2-a-deeper-dive-into-countries-and-regions/"/>
    <hyperlink ref="R61" r:id="rId26" display="https://ceflex.eu/epr-in-the-global-south-part-2-a-deeper-dive-into-countries-and-regions/"/>
    <hyperlink ref="R62" r:id="rId27" display="https://g20mpl.org/partners/egypt"/>
    <hyperlink ref="R95" r:id="rId28" display="https://bcrciran.ir/draft-practical-manuals-on-extended-producer-responsibility/"/>
    <hyperlink ref="R99" r:id="rId29"/>
    <hyperlink ref="R209" r:id="rId30"/>
    <hyperlink ref="R206" r:id="rId31" display="https://www.giz.de/en/downloads/giz2023-en-EPR-schemes-in-SIDS.pdf"/>
    <hyperlink ref="R184" r:id="rId32" display="https://www.newsfirst.lk/2024/05/31/sri-lanka-to-enforce-extended-producer-responsibility-for-plastic-packaging"/>
    <hyperlink ref="R50" r:id="rId33" display="https://www.complianceandrisks.com/blog/costa-rica-revised-draft-of-proposed-extended-producer-responsibility-law-approved/"/>
    <hyperlink ref="R147" r:id="rId34" display="https://www.loraxcompliance.com/blog/env/2021/07/07/EPR_in_Africa_-_what_to_expect_in_the_next_few_years.html"/>
    <hyperlink ref="R5" r:id="rId35" display="https://www.me.gov.dz/reglementation/%d9%86%d9%81%d8%a7%d9%8a%d8%a7%d8%aa/; "/>
    <hyperlink ref="R76" r:id="rId36" display="https://mepa.gov.ge/En/News/Details/20899/"/>
    <hyperlink ref="R129" r:id="rId37" display="https://mauritiusassembly.govmu.org/mauritiusassembly/wp-content/uploads/2023/04/act0323.pdf; "/>
    <hyperlink ref="R131" r:id="rId38"/>
    <hyperlink ref="R75" r:id="rId39"/>
    <hyperlink ref="R55" r:id="rId40"/>
    <hyperlink ref="R164" r:id="rId41" display="https://oirep.ro/articole/epr-scheme-and-its-role-in-the-implementation-of-the-green-and-circular-economy-in-romania/"/>
    <hyperlink ref="R178" r:id="rId42" display="https://www.gov.si/en/news/2021-04-08-more-efficient-implementation-of-the-packaging-waste-management-system/"/>
    <hyperlink ref="R183" r:id="rId43" location=":~:text=Este%20real%20decreto%20tiene%20por,todo%20su%20ciclo%20de%20vida." display="https://www.boe.es/buscar/act.php?id=BOE-A-2022-22690#:~:text=Este%20real%20decreto%20tiene%20por,todo%20su%20ciclo%20de%20vid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6"/>
  <sheetViews>
    <sheetView workbookViewId="0"/>
  </sheetViews>
  <sheetFormatPr defaultColWidth="8.6640625" defaultRowHeight="14"/>
  <sheetData>
    <row r="1" spans="1:7">
      <c r="A1" s="2" t="s">
        <v>1439</v>
      </c>
    </row>
    <row r="2" spans="1:7">
      <c r="A2" t="s">
        <v>120</v>
      </c>
      <c r="G2" t="s">
        <v>1440</v>
      </c>
    </row>
    <row r="3" spans="1:7">
      <c r="A3" t="s">
        <v>100</v>
      </c>
      <c r="G3" t="s">
        <v>1441</v>
      </c>
    </row>
    <row r="4" spans="1:7">
      <c r="A4" t="s">
        <v>1442</v>
      </c>
      <c r="G4" t="s">
        <v>1443</v>
      </c>
    </row>
    <row r="5" spans="1:7">
      <c r="A5" t="s">
        <v>112</v>
      </c>
    </row>
    <row r="6" spans="1:7">
      <c r="A6" t="s">
        <v>217</v>
      </c>
    </row>
    <row r="7" spans="1:7">
      <c r="A7" t="s">
        <v>91</v>
      </c>
    </row>
    <row r="8" spans="1:7">
      <c r="A8" t="s">
        <v>132</v>
      </c>
    </row>
    <row r="10" spans="1:7">
      <c r="A10" s="2" t="s">
        <v>1444</v>
      </c>
    </row>
    <row r="11" spans="1:7">
      <c r="A11" t="s">
        <v>96</v>
      </c>
    </row>
    <row r="12" spans="1:7">
      <c r="A12" t="s">
        <v>95</v>
      </c>
    </row>
    <row r="13" spans="1:7">
      <c r="A13" t="s">
        <v>106</v>
      </c>
    </row>
    <row r="16" spans="1:7">
      <c r="A16" s="2" t="s">
        <v>1445</v>
      </c>
    </row>
    <row r="17" spans="1:1">
      <c r="A17" t="s">
        <v>108</v>
      </c>
    </row>
    <row r="18" spans="1:1">
      <c r="A18" t="s">
        <v>345</v>
      </c>
    </row>
    <row r="19" spans="1:1">
      <c r="A19" t="s">
        <v>198</v>
      </c>
    </row>
    <row r="20" spans="1:1">
      <c r="A20" t="s">
        <v>118</v>
      </c>
    </row>
    <row r="22" spans="1:1">
      <c r="A22" s="2" t="s">
        <v>1446</v>
      </c>
    </row>
    <row r="23" spans="1:1">
      <c r="A23" t="s">
        <v>109</v>
      </c>
    </row>
    <row r="24" spans="1:1">
      <c r="A24" t="s">
        <v>148</v>
      </c>
    </row>
    <row r="25" spans="1:1">
      <c r="A25" t="s">
        <v>198</v>
      </c>
    </row>
    <row r="28" spans="1:1">
      <c r="A28" s="2" t="s">
        <v>1447</v>
      </c>
    </row>
    <row r="29" spans="1:1">
      <c r="A29" t="s">
        <v>110</v>
      </c>
    </row>
    <row r="30" spans="1:1">
      <c r="A30" t="s">
        <v>197</v>
      </c>
    </row>
    <row r="31" spans="1:1">
      <c r="A31" t="s">
        <v>149</v>
      </c>
    </row>
    <row r="32" spans="1:1">
      <c r="A32" t="s">
        <v>203</v>
      </c>
    </row>
    <row r="33" spans="1:5">
      <c r="A33" t="s">
        <v>106</v>
      </c>
    </row>
    <row r="35" spans="1:5">
      <c r="A35" s="2" t="s">
        <v>1448</v>
      </c>
    </row>
    <row r="36" spans="1:5">
      <c r="A36" t="s">
        <v>168</v>
      </c>
    </row>
    <row r="37" spans="1:5">
      <c r="A37" t="s">
        <v>162</v>
      </c>
    </row>
    <row r="38" spans="1:5">
      <c r="A38" t="s">
        <v>1449</v>
      </c>
    </row>
    <row r="39" spans="1:5">
      <c r="A39" t="s">
        <v>583</v>
      </c>
    </row>
    <row r="40" spans="1:5">
      <c r="A40" t="s">
        <v>106</v>
      </c>
    </row>
    <row r="43" spans="1:5">
      <c r="A43" s="2" t="s">
        <v>1450</v>
      </c>
    </row>
    <row r="44" spans="1:5">
      <c r="A44" t="s">
        <v>1451</v>
      </c>
      <c r="E44" t="s">
        <v>1452</v>
      </c>
    </row>
    <row r="45" spans="1:5">
      <c r="A45" t="s">
        <v>1453</v>
      </c>
      <c r="E45" t="s">
        <v>1454</v>
      </c>
    </row>
    <row r="46" spans="1:5">
      <c r="A46" t="s">
        <v>1455</v>
      </c>
      <c r="E46" t="s">
        <v>1456</v>
      </c>
    </row>
    <row r="47" spans="1:5">
      <c r="A47" t="s">
        <v>1457</v>
      </c>
      <c r="E47" t="s">
        <v>1458</v>
      </c>
    </row>
    <row r="48" spans="1:5">
      <c r="A48" t="s">
        <v>1459</v>
      </c>
    </row>
    <row r="49" spans="1:1">
      <c r="A49" t="s">
        <v>1069</v>
      </c>
    </row>
    <row r="53" spans="1:1">
      <c r="A53" s="2" t="s">
        <v>1460</v>
      </c>
    </row>
    <row r="54" spans="1:1">
      <c r="A54" t="s">
        <v>1437</v>
      </c>
    </row>
    <row r="55" spans="1:1">
      <c r="A55" t="s">
        <v>1435</v>
      </c>
    </row>
    <row r="56" spans="1:1">
      <c r="A56" t="s">
        <v>1438</v>
      </c>
    </row>
    <row r="57" spans="1:1">
      <c r="A57" t="s">
        <v>1461</v>
      </c>
    </row>
    <row r="58" spans="1:1">
      <c r="A58" t="s">
        <v>1462</v>
      </c>
    </row>
    <row r="59" spans="1:1">
      <c r="A59" t="s">
        <v>1434</v>
      </c>
    </row>
    <row r="60" spans="1:1">
      <c r="A60" t="s">
        <v>1436</v>
      </c>
    </row>
    <row r="61" spans="1:1">
      <c r="A61" t="s">
        <v>1463</v>
      </c>
    </row>
    <row r="62" spans="1:1">
      <c r="A62" t="s">
        <v>1069</v>
      </c>
    </row>
    <row r="64" spans="1:1">
      <c r="A64" t="s">
        <v>1464</v>
      </c>
    </row>
    <row r="65" spans="1:1">
      <c r="A65" t="s">
        <v>1465</v>
      </c>
    </row>
    <row r="66" spans="1:1">
      <c r="A66" t="s">
        <v>1466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1EA2DCDABDF445A86FC6908F54AC80" ma:contentTypeVersion="26" ma:contentTypeDescription="Create a new document." ma:contentTypeScope="" ma:versionID="56e799c002013fe4c47dde0f5a79a653">
  <xsd:schema xmlns:xsd="http://www.w3.org/2001/XMLSchema" xmlns:xs="http://www.w3.org/2001/XMLSchema" xmlns:p="http://schemas.microsoft.com/office/2006/metadata/properties" xmlns:ns1="http://schemas.microsoft.com/sharepoint/v3" xmlns:ns2="c37b5790-acd4-42f4-8325-bee80aaab7c3" xmlns:ns3="830b4a80-df52-4f19-a9d2-14f553f08061" targetNamespace="http://schemas.microsoft.com/office/2006/metadata/properties" ma:root="true" ma:fieldsID="a9b5de8ba9bd41987d00fb3a948750a8" ns1:_="" ns2:_="" ns3:_="">
    <xsd:import namespace="http://schemas.microsoft.com/sharepoint/v3"/>
    <xsd:import namespace="c37b5790-acd4-42f4-8325-bee80aaab7c3"/>
    <xsd:import namespace="830b4a80-df52-4f19-a9d2-14f553f08061"/>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DateTaken" minOccurs="0"/>
                <xsd:element ref="ns3:MediaLengthInSeconds"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OCR" minOccurs="0"/>
                <xsd:element ref="ns3:MediaServiceLocation" minOccurs="0"/>
                <xsd:element ref="ns2:SharedWithUsers" minOccurs="0"/>
                <xsd:element ref="ns2:SharedWithDetails" minOccurs="0"/>
                <xsd:element ref="ns2:TaxCatchAll" minOccurs="0"/>
                <xsd:element ref="ns3:lcf76f155ced4ddcb4097134ff3c332f"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Unified Compliance Policy Properties" ma:hidden="true" ma:internalName="_ip_UnifiedCompliancePolicyProperties">
      <xsd:simpleType>
        <xsd:restriction base="dms:Note"/>
      </xsd:simpleType>
    </xsd:element>
    <xsd:element name="_ip_UnifiedCompliancePolicyUIAction" ma:index="3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37b5790-acd4-42f4-8325-bee80aaab7c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133c8b8-f2d2-48c1-a635-3ac3b1960140}" ma:internalName="TaxCatchAll" ma:showField="CatchAllData" ma:web="c37b5790-acd4-42f4-8325-bee80aaab7c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30b4a80-df52-4f19-a9d2-14f553f08061"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7" nillable="true" ma:displayName="Tags" ma:internalName="MediaServiceAutoTag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3c847585-2009-4777-bb37-4ef53c124a5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3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c37b5790-acd4-42f4-8325-bee80aaab7c3" xsi:nil="true"/>
    <_ip_UnifiedCompliancePolicyProperties xmlns="http://schemas.microsoft.com/sharepoint/v3" xsi:nil="true"/>
    <lcf76f155ced4ddcb4097134ff3c332f xmlns="830b4a80-df52-4f19-a9d2-14f553f08061">
      <Terms xmlns="http://schemas.microsoft.com/office/infopath/2007/PartnerControls"/>
    </lcf76f155ced4ddcb4097134ff3c332f>
    <_dlc_DocId xmlns="c37b5790-acd4-42f4-8325-bee80aaab7c3">HXSSKMFARZKA-1519940043-2030592</_dlc_DocId>
    <_dlc_DocIdUrl xmlns="c37b5790-acd4-42f4-8325-bee80aaab7c3">
      <Url>https://eunomiacouk.sharepoint.com/sites/EunomiaDrive/_layouts/15/DocIdRedir.aspx?ID=HXSSKMFARZKA-1519940043-2030592</Url>
      <Description>HXSSKMFARZKA-1519940043-2030592</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
</file>

<file path=customXml/itemProps1.xml><?xml version="1.0" encoding="utf-8"?>
<ds:datastoreItem xmlns:ds="http://schemas.openxmlformats.org/officeDocument/2006/customXml" ds:itemID="{3EEAB6E6-A68D-48DD-950F-8B0D0B4C0627}">
  <ds:schemaRefs>
    <ds:schemaRef ds:uri="http://schemas.microsoft.com/office/2006/metadata/contentType"/>
    <ds:schemaRef ds:uri="http://schemas.microsoft.com/office/2006/metadata/properties/metaAttributes"/>
    <ds:schemaRef ds:uri="http://www.w3.org/2000/xmlns/"/>
    <ds:schemaRef ds:uri="http://www.w3.org/2001/XMLSchema"/>
    <ds:schemaRef ds:uri="http://schemas.microsoft.com/sharepoint/v3"/>
    <ds:schemaRef ds:uri="c37b5790-acd4-42f4-8325-bee80aaab7c3"/>
    <ds:schemaRef ds:uri="830b4a80-df52-4f19-a9d2-14f553f08061"/>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2DBB37D-AE11-4C17-AA27-D08EBCB5A2FF}">
  <ds:schemaRefs>
    <ds:schemaRef ds:uri="http://schemas.microsoft.com/office/2006/metadata/properties"/>
    <ds:schemaRef ds:uri="http://www.w3.org/2000/xmlns/"/>
    <ds:schemaRef ds:uri="http://schemas.microsoft.com/sharepoint/v3"/>
    <ds:schemaRef ds:uri="http://www.w3.org/2001/XMLSchema-instance"/>
    <ds:schemaRef ds:uri="c37b5790-acd4-42f4-8325-bee80aaab7c3"/>
    <ds:schemaRef ds:uri="830b4a80-df52-4f19-a9d2-14f553f08061"/>
    <ds:schemaRef ds:uri="http://schemas.microsoft.com/office/infopath/2007/PartnerControls"/>
  </ds:schemaRefs>
</ds:datastoreItem>
</file>

<file path=customXml/itemProps3.xml><?xml version="1.0" encoding="utf-8"?>
<ds:datastoreItem xmlns:ds="http://schemas.openxmlformats.org/officeDocument/2006/customXml" ds:itemID="{E76FE577-34B6-4913-B191-6705ABB405CF}">
  <ds:schemaRefs>
    <ds:schemaRef ds:uri="http://schemas.microsoft.com/sharepoint/v3/contenttype/forms"/>
  </ds:schemaRefs>
</ds:datastoreItem>
</file>

<file path=customXml/itemProps4.xml><?xml version="1.0" encoding="utf-8"?>
<ds:datastoreItem xmlns:ds="http://schemas.openxmlformats.org/officeDocument/2006/customXml" ds:itemID="{73203E5D-2FEB-4A88-ADB6-E5765568D7EB}">
  <ds:schemaRefs>
    <ds:schemaRef ds:uri="http://schemas.microsoft.com/sharepoint/events"/>
    <ds:schemaRef ds:uri="http://www.w3.org/2000/xmlns/"/>
  </ds:schemaRefs>
</ds:datastoreItem>
</file>

<file path=customXml/itemProps5.xml><?xml version="1.0" encoding="utf-8"?>
<ds:datastoreItem xmlns:ds="http://schemas.openxmlformats.org/officeDocument/2006/customXml" ds:itemID="{93377ACB-2241-43E1-BFF7-A92DEFABFE90}">
  <ds:schemaRefs>
    <ds:schemaRef ds:uri="http://schemas.microsoft.com/DataMashup"/>
  </ds:schemaRefs>
</ds:datastoreItem>
</file>

<file path=docMetadata/LabelInfo.xml><?xml version="1.0" encoding="utf-8"?>
<clbl:labelList xmlns:clbl="http://schemas.microsoft.com/office/2020/mipLabelMetadata">
  <clbl:label id="{9cb3ec79-f361-4fce-9968-760546e8777f}" enabled="0" method="" siteId="{9cb3ec79-f361-4fce-9968-760546e8777f}"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Country dataset</vt:lpstr>
      <vt:lpstr>EPR Input sheet</vt:lpstr>
      <vt:lpstr>Lists lookup</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Caroline Bradley</dc:creator>
  <cp:keywords/>
  <dc:description/>
  <cp:lastModifiedBy>Vimal</cp:lastModifiedBy>
  <cp:revision/>
  <dcterms:created xsi:type="dcterms:W3CDTF">2025-01-29T09:54:55Z</dcterms:created>
  <dcterms:modified xsi:type="dcterms:W3CDTF">2026-04-28T07:53:15Z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0x010100811EA2DCDABDF445A86FC6908F54AC80</vt:lpwstr>
  </property>
  <property fmtid="{D5CDD505-2E9C-101B-9397-08002B2CF9AE}" pid="3" name="_dlc_DocIdItemGuid">
    <vt:lpwstr>6e756ebb-0c6f-4af0-9026-daa48ec07037</vt:lpwstr>
  </property>
  <property fmtid="{D5CDD505-2E9C-101B-9397-08002B2CF9AE}" pid="4" name="MediaServiceImageTags">
    <vt:lpwstr/>
  </property>
  <property fmtid="{D5CDD505-2E9C-101B-9397-08002B2CF9AE}" pid="5" name="MSIP_Label_89608d83-f952-409d-b7c5-456515bbbf5a_Enabled">
    <vt:lpwstr>true</vt:lpwstr>
  </property>
  <property fmtid="{D5CDD505-2E9C-101B-9397-08002B2CF9AE}" pid="6" name="MSIP_Label_89608d83-f952-409d-b7c5-456515bbbf5a_SetDate">
    <vt:lpwstr>2025-06-23T04:22:13Z</vt:lpwstr>
  </property>
  <property fmtid="{D5CDD505-2E9C-101B-9397-08002B2CF9AE}" pid="7" name="MSIP_Label_89608d83-f952-409d-b7c5-456515bbbf5a_Method">
    <vt:lpwstr>Privileged</vt:lpwstr>
  </property>
  <property fmtid="{D5CDD505-2E9C-101B-9397-08002B2CF9AE}" pid="8" name="MSIP_Label_89608d83-f952-409d-b7c5-456515bbbf5a_Name">
    <vt:lpwstr>Public</vt:lpwstr>
  </property>
  <property fmtid="{D5CDD505-2E9C-101B-9397-08002B2CF9AE}" pid="9" name="MSIP_Label_89608d83-f952-409d-b7c5-456515bbbf5a_SiteId">
    <vt:lpwstr>31a2fec0-266b-4c67-b56e-2796d8f59c36</vt:lpwstr>
  </property>
  <property fmtid="{D5CDD505-2E9C-101B-9397-08002B2CF9AE}" pid="10" name="MSIP_Label_89608d83-f952-409d-b7c5-456515bbbf5a_ActionId">
    <vt:lpwstr>0140d75a-b1d5-4db4-901a-2f3e05992b44</vt:lpwstr>
  </property>
  <property fmtid="{D5CDD505-2E9C-101B-9397-08002B2CF9AE}" pid="11" name="MSIP_Label_89608d83-f952-409d-b7c5-456515bbbf5a_ContentBits">
    <vt:lpwstr>0</vt:lpwstr>
  </property>
  <property fmtid="{D5CDD505-2E9C-101B-9397-08002B2CF9AE}" pid="12" name="MSIP_Label_89608d83-f952-409d-b7c5-456515bbbf5a_Tag">
    <vt:lpwstr>10, 0, 1, 2</vt:lpwstr>
  </property>
</Properties>
</file>